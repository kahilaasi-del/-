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תוכנית יעדים אוגוסט" sheetId="1" state="visible" r:id="rId1"/>
    <sheet name="תחזית עמידה ביעד" sheetId="2" state="visible" r:id="rId2"/>
    <sheet name="גרף לפי סוכן" sheetId="3" state="visible" r:id="rId3"/>
    <sheet name="יעדים לפי סוכן" sheetId="4" state="visible" r:id="rId4"/>
    <sheet name="פירוט לפי סוכן ופריט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#,##0;(#,##0);-"/>
    <numFmt numFmtId="166" formatCode="#,##0.0;(#,##0.0);-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1"/>
    </font>
    <font>
      <name val="Arial"/>
      <b val="1"/>
      <color rgb="000000FF"/>
      <sz val="11"/>
    </font>
    <font>
      <name val="Arial"/>
      <i val="1"/>
      <color rgb="00808080"/>
      <sz val="10"/>
    </font>
    <font>
      <name val="Arial"/>
      <b val="1"/>
      <color rgb="00FFFFFF"/>
      <sz val="11"/>
    </font>
    <font>
      <name val="Arial"/>
      <sz val="11"/>
    </font>
    <font>
      <name val="Arial"/>
      <i val="1"/>
      <color rgb="00808080"/>
      <sz val="9"/>
    </font>
    <font>
      <name val="Arial"/>
      <b val="1"/>
      <sz val="13"/>
    </font>
    <font>
      <name val="Arial"/>
      <sz val="10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4E78"/>
      </patternFill>
    </fill>
    <fill>
      <patternFill patternType="solid">
        <fgColor rgb="00FCE4D6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3" fillId="2" borderId="1" pivotButton="0" quotePrefix="0" xfId="0"/>
    <xf numFmtId="0" fontId="4" fillId="0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right" vertical="center"/>
    </xf>
    <xf numFmtId="165" fontId="6" fillId="0" borderId="1" pivotButton="0" quotePrefix="0" xfId="0"/>
    <xf numFmtId="164" fontId="6" fillId="0" borderId="1" pivotButton="0" quotePrefix="0" xfId="0"/>
    <xf numFmtId="165" fontId="6" fillId="4" borderId="1" pivotButton="0" quotePrefix="0" xfId="0"/>
    <xf numFmtId="0" fontId="2" fillId="5" borderId="1" applyAlignment="1" pivotButton="0" quotePrefix="0" xfId="0">
      <alignment horizontal="right" vertical="center"/>
    </xf>
    <xf numFmtId="165" fontId="2" fillId="5" borderId="1" pivotButton="0" quotePrefix="0" xfId="0"/>
    <xf numFmtId="164" fontId="2" fillId="5" borderId="1" pivotButton="0" quotePrefix="0" xfId="0"/>
    <xf numFmtId="0" fontId="7" fillId="0" borderId="0" pivotButton="0" quotePrefix="0" xfId="0"/>
    <xf numFmtId="0" fontId="3" fillId="2" borderId="1" pivotButton="0" quotePrefix="0" xfId="0"/>
    <xf numFmtId="0" fontId="6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8" fillId="0" borderId="0" pivotButton="0" quotePrefix="0" xfId="0"/>
    <xf numFmtId="0" fontId="9" fillId="0" borderId="1" applyAlignment="1" pivotButton="0" quotePrefix="0" xfId="0">
      <alignment horizontal="right" vertical="center"/>
    </xf>
    <xf numFmtId="0" fontId="9" fillId="0" borderId="1" applyAlignment="1" pivotButton="0" quotePrefix="0" xfId="0">
      <alignment horizontal="center" vertical="center"/>
    </xf>
    <xf numFmtId="166" fontId="9" fillId="0" borderId="1" pivotButton="0" quotePrefix="0" xfId="0"/>
    <xf numFmtId="165" fontId="9" fillId="0" borderId="1" pivotButton="0" quotePrefix="0" xfId="0"/>
    <xf numFmtId="0" fontId="10" fillId="5" borderId="1" pivotButton="0" quotePrefix="0" xfId="0"/>
    <xf numFmtId="166" fontId="10" fillId="5" borderId="1" pivotButton="0" quotePrefix="0" xfId="0"/>
    <xf numFmtId="165" fontId="10" fillId="5" borderId="1" pivotButton="0" quotePrefix="0" xfId="0"/>
  </cellXfs>
  <cellStyles count="1">
    <cellStyle name="Normal" xfId="0" builtinId="0" hidden="0"/>
  </cellStyles>
  <dxfs count="3">
    <dxf>
      <fill>
        <patternFill patternType="solid">
          <fgColor rgb="00C6EF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יעד מול תחזית לפי סוכן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'תחזית עמידה ביעד'!C5</f>
            </strRef>
          </tx>
          <spPr>
            <a:solidFill>
              <a:srgbClr val="1F4E78"/>
            </a:solidFill>
            <a:ln>
              <a:prstDash val="solid"/>
            </a:ln>
          </spPr>
          <cat>
            <numRef>
              <f>'תחזית עמידה ביעד'!$A$6:$A$28</f>
            </numRef>
          </cat>
          <val>
            <numRef>
              <f>'תחזית עמידה ביעד'!$C$6:$C$28</f>
            </numRef>
          </val>
        </ser>
        <ser>
          <idx val="1"/>
          <order val="1"/>
          <tx>
            <strRef>
              <f>'תחזית עמידה ביעד'!F5</f>
            </strRef>
          </tx>
          <spPr>
            <a:solidFill>
              <a:srgbClr val="ED7D31"/>
            </a:solidFill>
            <a:ln>
              <a:prstDash val="solid"/>
            </a:ln>
          </spPr>
          <cat>
            <numRef>
              <f>'תחזית עמידה ביעד'!$A$6:$A$28</f>
            </numRef>
          </cat>
          <val>
            <numRef>
              <f>'תחזית עמידה ביעד'!$F$6:$F$28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₪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BI</author>
  </authors>
  <commentList>
    <comment ref="B27" authorId="0" shapeId="0">
      <text>
        <t>בסיס לפי מכירות 2026 — לסוכן אין מכירות ב-2025.</t>
      </text>
    </comment>
  </commentList>
</comments>
</file>

<file path=xl/comments/comment2.xml><?xml version="1.0" encoding="utf-8"?>
<comments xmlns="http://schemas.openxmlformats.org/spreadsheetml/2006/main">
  <authors>
    <author>BI</author>
  </authors>
  <commentList>
    <comment ref="B20" authorId="0" shapeId="0">
      <text>
        <t>בסיס לפי מכירות 2026 — לסוכן אין מכירות ב-2025.</t>
      </text>
    </comment>
  </commentList>
</comments>
</file>

<file path=xl/comments/comment3.xml><?xml version="1.0" encoding="utf-8"?>
<comments xmlns="http://schemas.openxmlformats.org/spreadsheetml/2006/main">
  <authors>
    <author>BI</author>
  </authors>
  <commentList>
    <comment ref="B27" authorId="0" shapeId="0">
      <text>
        <t>בסיס לפי מכירות 2026 — לסוכן אין מכירות ב-2025.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8640000" cy="64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20" customWidth="1" min="3" max="3"/>
    <col width="24" customWidth="1" min="4" max="4"/>
    <col width="16" customWidth="1" min="5" max="5"/>
    <col width="14" customWidth="1" min="6" max="6"/>
  </cols>
  <sheetData>
    <row r="1">
      <c r="A1" s="1" t="inlineStr">
        <is>
          <t>תוכנית יעדים – אוגוסט | משקאות אנרגיה בלו</t>
        </is>
      </c>
    </row>
    <row r="2">
      <c r="A2" s="2" t="inlineStr">
        <is>
          <t>אחוז גידול יעד:</t>
        </is>
      </c>
      <c r="B2" s="3" t="n">
        <v>0.25</v>
      </c>
      <c r="C2" s="4" t="inlineStr">
        <is>
          <t>בסיס: מכירות בפועל אוגוסט 2025 (₪). יעד = בסיס × (1 + אחוז גידול).</t>
        </is>
      </c>
    </row>
    <row r="4">
      <c r="A4" s="5" t="inlineStr">
        <is>
          <t>שם סוכן</t>
        </is>
      </c>
      <c r="B4" s="5" t="inlineStr">
        <is>
          <t>מכירות אוגוסט 2025 (בסיס ₪)</t>
        </is>
      </c>
      <c r="C4" s="5" t="inlineStr">
        <is>
          <t>יעד אוגוסט 2026 (₪)</t>
        </is>
      </c>
      <c r="D4" s="5" t="inlineStr">
        <is>
          <t>בפועל אוגוסט 2026 עד כה (₪)</t>
        </is>
      </c>
      <c r="E4" s="5" t="inlineStr">
        <is>
          <t>פער ליעד (₪)</t>
        </is>
      </c>
      <c r="F4" s="5" t="inlineStr">
        <is>
          <t>% עמידה ביעד</t>
        </is>
      </c>
    </row>
    <row r="5">
      <c r="A5" s="6" t="inlineStr">
        <is>
          <t>נחמן</t>
        </is>
      </c>
      <c r="B5" s="7" t="n">
        <v>35899</v>
      </c>
      <c r="C5" s="7">
        <f>B5*(1+$B$2)</f>
        <v>44873.75</v>
      </c>
      <c r="D5" s="7" t="n">
        <v>15613</v>
      </c>
      <c r="E5" s="7">
        <f>D5-C5</f>
        <v>-29260.75</v>
      </c>
      <c r="F5" s="8">
        <f>IF(C5=0,0,D5/C5)</f>
        <v>0.34793169726176215</v>
      </c>
    </row>
    <row r="6">
      <c r="A6" s="6" t="inlineStr">
        <is>
          <t>אלון</t>
        </is>
      </c>
      <c r="B6" s="7" t="n">
        <v>24044</v>
      </c>
      <c r="C6" s="7">
        <f>B6*(1+$B$2)</f>
        <v>30055</v>
      </c>
      <c r="D6" s="7" t="n">
        <v>3237</v>
      </c>
      <c r="E6" s="7">
        <f>D6-C6</f>
        <v>-26818</v>
      </c>
      <c r="F6" s="8">
        <f>IF(C6=0,0,D6/C6)</f>
        <v>0.10770254533355515</v>
      </c>
    </row>
    <row r="7">
      <c r="A7" s="6" t="inlineStr">
        <is>
          <t>רפי</t>
        </is>
      </c>
      <c r="B7" s="7" t="n">
        <v>18997</v>
      </c>
      <c r="C7" s="7">
        <f>B7*(1+$B$2)</f>
        <v>23746.25</v>
      </c>
      <c r="D7" s="7" t="n">
        <v>8678</v>
      </c>
      <c r="E7" s="7">
        <f>D7-C7</f>
        <v>-15068.25</v>
      </c>
      <c r="F7" s="8">
        <f>IF(C7=0,0,D7/C7)</f>
        <v>0.3654471758698742</v>
      </c>
    </row>
    <row r="8">
      <c r="A8" s="6" t="inlineStr">
        <is>
          <t>יהונתן ודב</t>
        </is>
      </c>
      <c r="B8" s="7" t="n">
        <v>17718</v>
      </c>
      <c r="C8" s="7">
        <f>B8*(1+$B$2)</f>
        <v>22147.5</v>
      </c>
      <c r="D8" s="7" t="n">
        <v>0</v>
      </c>
      <c r="E8" s="7">
        <f>D8-C8</f>
        <v>-22147.5</v>
      </c>
      <c r="F8" s="8">
        <f>IF(C8=0,0,D8/C8)</f>
        <v>0</v>
      </c>
    </row>
    <row r="9">
      <c r="A9" s="6" t="inlineStr">
        <is>
          <t>ירין</t>
        </is>
      </c>
      <c r="B9" s="7" t="n">
        <v>17529</v>
      </c>
      <c r="C9" s="7">
        <f>B9*(1+$B$2)</f>
        <v>21911.25</v>
      </c>
      <c r="D9" s="7" t="n">
        <v>4971</v>
      </c>
      <c r="E9" s="7">
        <f>D9-C9</f>
        <v>-16940.25</v>
      </c>
      <c r="F9" s="8">
        <f>IF(C9=0,0,D9/C9)</f>
        <v>0.22686975868560671</v>
      </c>
    </row>
    <row r="10">
      <c r="A10" s="6" t="inlineStr">
        <is>
          <t>אלרואי</t>
        </is>
      </c>
      <c r="B10" s="7" t="n">
        <v>13955</v>
      </c>
      <c r="C10" s="7">
        <f>B10*(1+$B$2)</f>
        <v>17443.75</v>
      </c>
      <c r="D10" s="7" t="n">
        <v>3989</v>
      </c>
      <c r="E10" s="7">
        <f>D10-C10</f>
        <v>-13454.75</v>
      </c>
      <c r="F10" s="8">
        <f>IF(C10=0,0,D10/C10)</f>
        <v>0.22867789322823362</v>
      </c>
    </row>
    <row r="11">
      <c r="A11" s="6" t="inlineStr">
        <is>
          <t>אוראל</t>
        </is>
      </c>
      <c r="B11" s="7" t="n">
        <v>11819</v>
      </c>
      <c r="C11" s="7">
        <f>B11*(1+$B$2)</f>
        <v>14773.75</v>
      </c>
      <c r="D11" s="7" t="n">
        <v>4490</v>
      </c>
      <c r="E11" s="7">
        <f>D11-C11</f>
        <v>-10283.75</v>
      </c>
      <c r="F11" s="8">
        <f>IF(C11=0,0,D11/C11)</f>
        <v>0.303917421101616</v>
      </c>
    </row>
    <row r="12">
      <c r="A12" s="6" t="inlineStr">
        <is>
          <t>אייל</t>
        </is>
      </c>
      <c r="B12" s="7" t="n">
        <v>11716</v>
      </c>
      <c r="C12" s="7">
        <f>B12*(1+$B$2)</f>
        <v>14645</v>
      </c>
      <c r="D12" s="7" t="n">
        <v>3925</v>
      </c>
      <c r="E12" s="7">
        <f>D12-C12</f>
        <v>-10720</v>
      </c>
      <c r="F12" s="8">
        <f>IF(C12=0,0,D12/C12)</f>
        <v>0.2680095595766473</v>
      </c>
    </row>
    <row r="13">
      <c r="A13" s="6" t="inlineStr">
        <is>
          <t>ישראל</t>
        </is>
      </c>
      <c r="B13" s="7" t="n">
        <v>11063</v>
      </c>
      <c r="C13" s="7">
        <f>B13*(1+$B$2)</f>
        <v>13828.75</v>
      </c>
      <c r="D13" s="7" t="n">
        <v>8476</v>
      </c>
      <c r="E13" s="7">
        <f>D13-C13</f>
        <v>-5352.75</v>
      </c>
      <c r="F13" s="8">
        <f>IF(C13=0,0,D13/C13)</f>
        <v>0.6129259694477086</v>
      </c>
    </row>
    <row r="14">
      <c r="A14" s="6" t="inlineStr">
        <is>
          <t>צחי</t>
        </is>
      </c>
      <c r="B14" s="7" t="n">
        <v>10514</v>
      </c>
      <c r="C14" s="7">
        <f>B14*(1+$B$2)</f>
        <v>13142.5</v>
      </c>
      <c r="D14" s="7" t="n">
        <v>3293</v>
      </c>
      <c r="E14" s="7">
        <f>D14-C14</f>
        <v>-9849.5</v>
      </c>
      <c r="F14" s="8">
        <f>IF(C14=0,0,D14/C14)</f>
        <v>0.2505611565531672</v>
      </c>
    </row>
    <row r="15">
      <c r="A15" s="6" t="inlineStr">
        <is>
          <t>נדב</t>
        </is>
      </c>
      <c r="B15" s="7" t="n">
        <v>9496</v>
      </c>
      <c r="C15" s="7">
        <f>B15*(1+$B$2)</f>
        <v>11870</v>
      </c>
      <c r="D15" s="7" t="n">
        <v>5433</v>
      </c>
      <c r="E15" s="7">
        <f>D15-C15</f>
        <v>-6437</v>
      </c>
      <c r="F15" s="8">
        <f>IF(C15=0,0,D15/C15)</f>
        <v>0.4577085088458298</v>
      </c>
    </row>
    <row r="16">
      <c r="A16" s="6" t="inlineStr">
        <is>
          <t>בני</t>
        </is>
      </c>
      <c r="B16" s="7" t="n">
        <v>9072</v>
      </c>
      <c r="C16" s="7">
        <f>B16*(1+$B$2)</f>
        <v>11340</v>
      </c>
      <c r="D16" s="7" t="n">
        <v>3425</v>
      </c>
      <c r="E16" s="7">
        <f>D16-C16</f>
        <v>-7915</v>
      </c>
      <c r="F16" s="8">
        <f>IF(C16=0,0,D16/C16)</f>
        <v>0.3020282186948854</v>
      </c>
    </row>
    <row r="17">
      <c r="A17" s="6" t="inlineStr">
        <is>
          <t>אדם</t>
        </is>
      </c>
      <c r="B17" s="7" t="n">
        <v>8714</v>
      </c>
      <c r="C17" s="7">
        <f>B17*(1+$B$2)</f>
        <v>10892.5</v>
      </c>
      <c r="D17" s="7" t="n">
        <v>2624</v>
      </c>
      <c r="E17" s="7">
        <f>D17-C17</f>
        <v>-8268.5</v>
      </c>
      <c r="F17" s="8">
        <f>IF(C17=0,0,D17/C17)</f>
        <v>0.24089970162956162</v>
      </c>
    </row>
    <row r="18">
      <c r="A18" s="6" t="inlineStr">
        <is>
          <t>עומר</t>
        </is>
      </c>
      <c r="B18" s="7" t="n">
        <v>8670</v>
      </c>
      <c r="C18" s="7">
        <f>B18*(1+$B$2)</f>
        <v>10837.5</v>
      </c>
      <c r="D18" s="7" t="n">
        <v>2001</v>
      </c>
      <c r="E18" s="7">
        <f>D18-C18</f>
        <v>-8836.5</v>
      </c>
      <c r="F18" s="8">
        <f>IF(C18=0,0,D18/C18)</f>
        <v>0.18463667820069204</v>
      </c>
    </row>
    <row r="19">
      <c r="A19" s="6" t="inlineStr">
        <is>
          <t>רמי</t>
        </is>
      </c>
      <c r="B19" s="7" t="n">
        <v>7814</v>
      </c>
      <c r="C19" s="7">
        <f>B19*(1+$B$2)</f>
        <v>9767.5</v>
      </c>
      <c r="D19" s="7" t="n">
        <v>5505</v>
      </c>
      <c r="E19" s="7">
        <f>D19-C19</f>
        <v>-4262.5</v>
      </c>
      <c r="F19" s="8">
        <f>IF(C19=0,0,D19/C19)</f>
        <v>0.5636037880726901</v>
      </c>
    </row>
    <row r="20">
      <c r="A20" s="6" t="inlineStr">
        <is>
          <t>אילן</t>
        </is>
      </c>
      <c r="B20" s="7" t="n">
        <v>7537</v>
      </c>
      <c r="C20" s="7">
        <f>B20*(1+$B$2)</f>
        <v>9421.25</v>
      </c>
      <c r="D20" s="7" t="n">
        <v>1864</v>
      </c>
      <c r="E20" s="7">
        <f>D20-C20</f>
        <v>-7557.25</v>
      </c>
      <c r="F20" s="8">
        <f>IF(C20=0,0,D20/C20)</f>
        <v>0.1978506036884702</v>
      </c>
    </row>
    <row r="21">
      <c r="A21" s="6" t="inlineStr">
        <is>
          <t>וודיע</t>
        </is>
      </c>
      <c r="B21" s="7" t="n">
        <v>6285</v>
      </c>
      <c r="C21" s="7">
        <f>B21*(1+$B$2)</f>
        <v>7856.25</v>
      </c>
      <c r="D21" s="7" t="n">
        <v>1212</v>
      </c>
      <c r="E21" s="7">
        <f>D21-C21</f>
        <v>-6644.25</v>
      </c>
      <c r="F21" s="8">
        <f>IF(C21=0,0,D21/C21)</f>
        <v>0.15427207637231505</v>
      </c>
    </row>
    <row r="22">
      <c r="A22" s="6" t="inlineStr">
        <is>
          <t>עידן</t>
        </is>
      </c>
      <c r="B22" s="7" t="n">
        <v>5548</v>
      </c>
      <c r="C22" s="7">
        <f>B22*(1+$B$2)</f>
        <v>6935</v>
      </c>
      <c r="D22" s="7" t="n">
        <v>842</v>
      </c>
      <c r="E22" s="7">
        <f>D22-C22</f>
        <v>-6093</v>
      </c>
      <c r="F22" s="8">
        <f>IF(C22=0,0,D22/C22)</f>
        <v>0.12141312184571017</v>
      </c>
    </row>
    <row r="23">
      <c r="A23" s="6" t="inlineStr">
        <is>
          <t>37</t>
        </is>
      </c>
      <c r="B23" s="7" t="n">
        <v>2237</v>
      </c>
      <c r="C23" s="7">
        <f>B23*(1+$B$2)</f>
        <v>2796.25</v>
      </c>
      <c r="D23" s="7" t="n">
        <v>780</v>
      </c>
      <c r="E23" s="7">
        <f>D23-C23</f>
        <v>-2016.25</v>
      </c>
      <c r="F23" s="8">
        <f>IF(C23=0,0,D23/C23)</f>
        <v>0.2789450156459544</v>
      </c>
    </row>
    <row r="24">
      <c r="A24" s="6" t="inlineStr">
        <is>
          <t>36</t>
        </is>
      </c>
      <c r="B24" s="7" t="n">
        <v>2183</v>
      </c>
      <c r="C24" s="7">
        <f>B24*(1+$B$2)</f>
        <v>2728.75</v>
      </c>
      <c r="D24" s="7" t="n">
        <v>240</v>
      </c>
      <c r="E24" s="7">
        <f>D24-C24</f>
        <v>-2488.75</v>
      </c>
      <c r="F24" s="8">
        <f>IF(C24=0,0,D24/C24)</f>
        <v>0.08795235913879981</v>
      </c>
    </row>
    <row r="25">
      <c r="A25" s="6" t="inlineStr">
        <is>
          <t>ליעד</t>
        </is>
      </c>
      <c r="B25" s="7" t="n">
        <v>1666</v>
      </c>
      <c r="C25" s="7">
        <f>B25*(1+$B$2)</f>
        <v>2082.5</v>
      </c>
      <c r="D25" s="7" t="n">
        <v>1147</v>
      </c>
      <c r="E25" s="7">
        <f>D25-C25</f>
        <v>-935.5</v>
      </c>
      <c r="F25" s="8">
        <f>IF(C25=0,0,D25/C25)</f>
        <v>0.5507803121248499</v>
      </c>
    </row>
    <row r="26">
      <c r="A26" s="6" t="inlineStr">
        <is>
          <t>35</t>
        </is>
      </c>
      <c r="B26" s="7" t="n">
        <v>709</v>
      </c>
      <c r="C26" s="7">
        <f>B26*(1+$B$2)</f>
        <v>886.25</v>
      </c>
      <c r="D26" s="7" t="n">
        <v>1837</v>
      </c>
      <c r="E26" s="7">
        <f>D26-C26</f>
        <v>950.75</v>
      </c>
      <c r="F26" s="8">
        <f>IF(C26=0,0,D26/C26)</f>
        <v>2.0727785613540197</v>
      </c>
    </row>
    <row r="27">
      <c r="A27" s="6" t="inlineStr">
        <is>
          <t>38</t>
        </is>
      </c>
      <c r="B27" s="9" t="n">
        <v>1247</v>
      </c>
      <c r="C27" s="7">
        <f>B27*(1+$B$2)</f>
        <v>1558.75</v>
      </c>
      <c r="D27" s="7" t="n">
        <v>1247</v>
      </c>
      <c r="E27" s="7">
        <f>D27-C27</f>
        <v>-311.75</v>
      </c>
      <c r="F27" s="8">
        <f>IF(C27=0,0,D27/C27)</f>
        <v>0.8</v>
      </c>
    </row>
    <row r="28">
      <c r="A28" s="10" t="inlineStr">
        <is>
          <t>סה"כ</t>
        </is>
      </c>
      <c r="B28" s="11">
        <f>SUM(B5:B27)</f>
        <v>244432</v>
      </c>
      <c r="C28" s="11">
        <f>SUM(C5:C27)</f>
        <v>305540</v>
      </c>
      <c r="D28" s="11">
        <f>SUM(D5:D27)</f>
        <v>84829</v>
      </c>
      <c r="E28" s="11">
        <f>SUM(E5:E27)</f>
        <v>-220711</v>
      </c>
      <c r="F28" s="12">
        <f>IF(C28=0,0,D28/C28)</f>
        <v>0.27763631603063427</v>
      </c>
    </row>
    <row r="30">
      <c r="A30" s="13" t="inlineStr">
        <is>
          <t>הערה: נתוני אוגוסט 2026 חלקיים (הדוח הופק ב-11/08/2026); "% עמידה ביעד" יעלה ככל שנצברות מכירות עד סוף החודש. תא כתום = הבסיס מבוסס מכירות 2026 (אין לסוכן מכירות ב-2025).</t>
        </is>
      </c>
    </row>
  </sheetData>
  <mergeCells count="3">
    <mergeCell ref="C2:F2"/>
    <mergeCell ref="A1:F1"/>
    <mergeCell ref="A30:F30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rightToLeft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4" customWidth="1" min="4" max="4"/>
    <col width="16" customWidth="1" min="5" max="5"/>
    <col width="20" customWidth="1" min="6" max="6"/>
    <col width="14" customWidth="1" min="7" max="7"/>
    <col width="14" customWidth="1" min="8" max="8"/>
  </cols>
  <sheetData>
    <row r="1">
      <c r="A1" s="1" t="inlineStr">
        <is>
          <t>תחזית עמידה ביעד – יולי–אוגוסט | משקאות אנרגיה בלו</t>
        </is>
      </c>
    </row>
    <row r="2">
      <c r="A2" s="2" t="inlineStr">
        <is>
          <t>ימים שחלפו באוגוסט:</t>
        </is>
      </c>
      <c r="B2" s="14" t="n">
        <v>11</v>
      </c>
      <c r="C2" s="2" t="inlineStr">
        <is>
          <t>סה"כ ימים בחודש:</t>
        </is>
      </c>
      <c r="D2" s="14" t="n">
        <v>31</v>
      </c>
      <c r="E2" s="2" t="inlineStr">
        <is>
          <t>אחוז גידול יעד:</t>
        </is>
      </c>
      <c r="F2" s="3" t="n">
        <v>0.25</v>
      </c>
    </row>
    <row r="3">
      <c r="A3" s="4" t="inlineStr">
        <is>
          <t>תחזית = מכירות יולי 2026 + (מכירות אוגוסט 2026 עד כה × ימים בחודש / ימים שחלפו). התאים הצהובים ניתנים לשינוי.</t>
        </is>
      </c>
    </row>
    <row r="5">
      <c r="A5" s="5" t="inlineStr">
        <is>
          <t>שם סוכן</t>
        </is>
      </c>
      <c r="B5" s="5" t="inlineStr">
        <is>
          <t>בסיס 2025 (₪)</t>
        </is>
      </c>
      <c r="C5" s="5" t="inlineStr">
        <is>
          <t>יעד 2026 (₪)</t>
        </is>
      </c>
      <c r="D5" s="5" t="inlineStr">
        <is>
          <t>יולי 2026 (₪)</t>
        </is>
      </c>
      <c r="E5" s="5" t="inlineStr">
        <is>
          <t>אוגוסט עד כה (₪)</t>
        </is>
      </c>
      <c r="F5" s="5" t="inlineStr">
        <is>
          <t>תחזית סוף תקופה (₪)</t>
        </is>
      </c>
      <c r="G5" s="5" t="inlineStr">
        <is>
          <t>% צפוי מהיעד</t>
        </is>
      </c>
      <c r="H5" s="5" t="inlineStr">
        <is>
          <t>הערכה</t>
        </is>
      </c>
    </row>
    <row r="6">
      <c r="A6" s="6" t="inlineStr">
        <is>
          <t>נחמן</t>
        </is>
      </c>
      <c r="B6" s="7" t="n">
        <v>67046</v>
      </c>
      <c r="C6" s="7">
        <f>B6*(1+$F$2)</f>
        <v>83807.5</v>
      </c>
      <c r="D6" s="7" t="n">
        <v>33834</v>
      </c>
      <c r="E6" s="7" t="n">
        <v>15613</v>
      </c>
      <c r="F6" s="7">
        <f>D6+E6*$D$2/$B$2</f>
        <v>77834.27272727274</v>
      </c>
      <c r="G6" s="8">
        <f>IF(C6=0,0,F6/C6)</f>
        <v>0.928726817137759</v>
      </c>
      <c r="H6" s="15" t="str">
        <f>IF(G6&gt;=1,"צפוי לעמוד",IF(G6&gt;=0.85,"על הגבול","בסיכון"))</f>
        <v>על הגבול</v>
      </c>
    </row>
    <row r="7">
      <c r="A7" s="6" t="inlineStr">
        <is>
          <t>ישראל</t>
        </is>
      </c>
      <c r="B7" s="7" t="n">
        <v>23753</v>
      </c>
      <c r="C7" s="7">
        <f>B7*(1+$F$2)</f>
        <v>29691.25</v>
      </c>
      <c r="D7" s="7" t="n">
        <v>25838</v>
      </c>
      <c r="E7" s="7" t="n">
        <v>8476</v>
      </c>
      <c r="F7" s="7">
        <f>D7+E7*$D$2/$B$2</f>
        <v>49724.90909090909</v>
      </c>
      <c r="G7" s="8">
        <f>IF(C7=0,0,F7/C7)</f>
        <v>1.6747327610292289</v>
      </c>
      <c r="H7" s="15" t="str">
        <f>IF(G7&gt;=1,"צפוי לעמוד",IF(G7&gt;=0.85,"על הגבול","בסיכון"))</f>
        <v>צפוי לעמוד</v>
      </c>
    </row>
    <row r="8">
      <c r="A8" s="6" t="inlineStr">
        <is>
          <t>רפי</t>
        </is>
      </c>
      <c r="B8" s="7" t="n">
        <v>40728</v>
      </c>
      <c r="C8" s="7">
        <f>B8*(1+$F$2)</f>
        <v>50910</v>
      </c>
      <c r="D8" s="7" t="n">
        <v>21161</v>
      </c>
      <c r="E8" s="7" t="n">
        <v>8678</v>
      </c>
      <c r="F8" s="7">
        <f>D8+E8*$D$2/$B$2</f>
        <v>45617.18181818182</v>
      </c>
      <c r="G8" s="8">
        <f>IF(C8=0,0,F8/C8)</f>
        <v>0.8960357850752666</v>
      </c>
      <c r="H8" s="15" t="str">
        <f>IF(G8&gt;=1,"צפוי לעמוד",IF(G8&gt;=0.85,"על הגבול","בסיכון"))</f>
        <v>על הגבול</v>
      </c>
    </row>
    <row r="9">
      <c r="A9" s="6" t="inlineStr">
        <is>
          <t>אלון</t>
        </is>
      </c>
      <c r="B9" s="7" t="n">
        <v>48506</v>
      </c>
      <c r="C9" s="7">
        <f>B9*(1+$F$2)</f>
        <v>60632.5</v>
      </c>
      <c r="D9" s="7" t="n">
        <v>28348</v>
      </c>
      <c r="E9" s="7" t="n">
        <v>3237</v>
      </c>
      <c r="F9" s="7">
        <f>D9+E9*$D$2/$B$2</f>
        <v>37470.454545454544</v>
      </c>
      <c r="G9" s="8">
        <f>IF(C9=0,0,F9/C9)</f>
        <v>0.6179929005971145</v>
      </c>
      <c r="H9" s="15" t="str">
        <f>IF(G9&gt;=1,"צפוי לעמוד",IF(G9&gt;=0.85,"על הגבול","בסיכון"))</f>
        <v>בסיכון</v>
      </c>
    </row>
    <row r="10">
      <c r="A10" s="6" t="inlineStr">
        <is>
          <t>אוראל</t>
        </is>
      </c>
      <c r="B10" s="7" t="n">
        <v>26356</v>
      </c>
      <c r="C10" s="7">
        <f>B10*(1+$F$2)</f>
        <v>32945</v>
      </c>
      <c r="D10" s="7" t="n">
        <v>15685</v>
      </c>
      <c r="E10" s="7" t="n">
        <v>4490</v>
      </c>
      <c r="F10" s="7">
        <f>D10+E10*$D$2/$B$2</f>
        <v>28338.636363636364</v>
      </c>
      <c r="G10" s="8">
        <f>IF(C10=0,0,F10/C10)</f>
        <v>0.8601801901240359</v>
      </c>
      <c r="H10" s="15" t="str">
        <f>IF(G10&gt;=1,"צפוי לעמוד",IF(G10&gt;=0.85,"על הגבול","בסיכון"))</f>
        <v>על הגבול</v>
      </c>
    </row>
    <row r="11">
      <c r="A11" s="6" t="inlineStr">
        <is>
          <t>נדב</t>
        </is>
      </c>
      <c r="B11" s="7" t="n">
        <v>16981</v>
      </c>
      <c r="C11" s="7">
        <f>B11*(1+$F$2)</f>
        <v>21226.25</v>
      </c>
      <c r="D11" s="7" t="n">
        <v>10915</v>
      </c>
      <c r="E11" s="7" t="n">
        <v>5433</v>
      </c>
      <c r="F11" s="7">
        <f>D11+E11*$D$2/$B$2</f>
        <v>26226.181818181816</v>
      </c>
      <c r="G11" s="8">
        <f>IF(C11=0,0,F11/C11)</f>
        <v>1.2355541755223751</v>
      </c>
      <c r="H11" s="15" t="str">
        <f>IF(G11&gt;=1,"צפוי לעמוד",IF(G11&gt;=0.85,"על הגבול","בסיכון"))</f>
        <v>צפוי לעמוד</v>
      </c>
    </row>
    <row r="12">
      <c r="A12" s="6" t="inlineStr">
        <is>
          <t>רמי</t>
        </is>
      </c>
      <c r="B12" s="7" t="n">
        <v>23836</v>
      </c>
      <c r="C12" s="7">
        <f>B12*(1+$F$2)</f>
        <v>29795</v>
      </c>
      <c r="D12" s="7" t="n">
        <v>8024</v>
      </c>
      <c r="E12" s="7" t="n">
        <v>5505</v>
      </c>
      <c r="F12" s="7">
        <f>D12+E12*$D$2/$B$2</f>
        <v>23538.09090909091</v>
      </c>
      <c r="G12" s="8">
        <f>IF(C12=0,0,F12/C12)</f>
        <v>0.7900013730186579</v>
      </c>
      <c r="H12" s="15" t="str">
        <f>IF(G12&gt;=1,"צפוי לעמוד",IF(G12&gt;=0.85,"על הגבול","בסיכון"))</f>
        <v>בסיכון</v>
      </c>
    </row>
    <row r="13">
      <c r="A13" s="6" t="inlineStr">
        <is>
          <t>אייל</t>
        </is>
      </c>
      <c r="B13" s="7" t="n">
        <v>25525</v>
      </c>
      <c r="C13" s="7">
        <f>B13*(1+$F$2)</f>
        <v>31906.25</v>
      </c>
      <c r="D13" s="7" t="n">
        <v>12169</v>
      </c>
      <c r="E13" s="7" t="n">
        <v>3925</v>
      </c>
      <c r="F13" s="7">
        <f>D13+E13*$D$2/$B$2</f>
        <v>23230.363636363636</v>
      </c>
      <c r="G13" s="8">
        <f>IF(C13=0,0,F13/C13)</f>
        <v>0.7280819161250112</v>
      </c>
      <c r="H13" s="15" t="str">
        <f>IF(G13&gt;=1,"צפוי לעמוד",IF(G13&gt;=0.85,"על הגבול","בסיכון"))</f>
        <v>בסיכון</v>
      </c>
    </row>
    <row r="14">
      <c r="A14" s="6" t="inlineStr">
        <is>
          <t>ירין</t>
        </is>
      </c>
      <c r="B14" s="7" t="n">
        <v>39812</v>
      </c>
      <c r="C14" s="7">
        <f>B14*(1+$F$2)</f>
        <v>49765</v>
      </c>
      <c r="D14" s="7" t="n">
        <v>9145</v>
      </c>
      <c r="E14" s="7" t="n">
        <v>4971</v>
      </c>
      <c r="F14" s="7">
        <f>D14+E14*$D$2/$B$2</f>
        <v>23154.181818181816</v>
      </c>
      <c r="G14" s="8">
        <f>IF(C14=0,0,F14/C14)</f>
        <v>0.4652704072778422</v>
      </c>
      <c r="H14" s="15" t="str">
        <f>IF(G14&gt;=1,"צפוי לעמוד",IF(G14&gt;=0.85,"על הגבול","בסיכון"))</f>
        <v>בסיכון</v>
      </c>
    </row>
    <row r="15">
      <c r="A15" s="6" t="inlineStr">
        <is>
          <t>בני</t>
        </is>
      </c>
      <c r="B15" s="7" t="n">
        <v>21063</v>
      </c>
      <c r="C15" s="7">
        <f>B15*(1+$F$2)</f>
        <v>26328.75</v>
      </c>
      <c r="D15" s="7" t="n">
        <v>12581</v>
      </c>
      <c r="E15" s="7" t="n">
        <v>3425</v>
      </c>
      <c r="F15" s="7">
        <f>D15+E15*$D$2/$B$2</f>
        <v>22233.272727272728</v>
      </c>
      <c r="G15" s="8">
        <f>IF(C15=0,0,F15/C15)</f>
        <v>0.8444484727635276</v>
      </c>
      <c r="H15" s="15" t="str">
        <f>IF(G15&gt;=1,"צפוי לעמוד",IF(G15&gt;=0.85,"על הגבול","בסיכון"))</f>
        <v>בסיכון</v>
      </c>
    </row>
    <row r="16">
      <c r="A16" s="6" t="inlineStr">
        <is>
          <t>אלרואי</t>
        </is>
      </c>
      <c r="B16" s="7" t="n">
        <v>26966</v>
      </c>
      <c r="C16" s="7">
        <f>B16*(1+$F$2)</f>
        <v>33707.5</v>
      </c>
      <c r="D16" s="7" t="n">
        <v>10352</v>
      </c>
      <c r="E16" s="7" t="n">
        <v>3989</v>
      </c>
      <c r="F16" s="7">
        <f>D16+E16*$D$2/$B$2</f>
        <v>21593.727272727272</v>
      </c>
      <c r="G16" s="8">
        <f>IF(C16=0,0,F16/C16)</f>
        <v>0.6406208491501082</v>
      </c>
      <c r="H16" s="15" t="str">
        <f>IF(G16&gt;=1,"צפוי לעמוד",IF(G16&gt;=0.85,"על הגבול","בסיכון"))</f>
        <v>בסיכון</v>
      </c>
    </row>
    <row r="17">
      <c r="A17" s="6" t="inlineStr">
        <is>
          <t>צחי</t>
        </is>
      </c>
      <c r="B17" s="7" t="n">
        <v>19279</v>
      </c>
      <c r="C17" s="7">
        <f>B17*(1+$F$2)</f>
        <v>24098.75</v>
      </c>
      <c r="D17" s="7" t="n">
        <v>9305</v>
      </c>
      <c r="E17" s="7" t="n">
        <v>3293</v>
      </c>
      <c r="F17" s="7">
        <f>D17+E17*$D$2/$B$2</f>
        <v>18585.272727272728</v>
      </c>
      <c r="G17" s="8">
        <f>IF(C17=0,0,F17/C17)</f>
        <v>0.7712131428921719</v>
      </c>
      <c r="H17" s="15" t="str">
        <f>IF(G17&gt;=1,"צפוי לעמוד",IF(G17&gt;=0.85,"על הגבול","בסיכון"))</f>
        <v>בסיכון</v>
      </c>
    </row>
    <row r="18">
      <c r="A18" s="6" t="inlineStr">
        <is>
          <t>אילן</t>
        </is>
      </c>
      <c r="B18" s="7" t="n">
        <v>11961</v>
      </c>
      <c r="C18" s="7">
        <f>B18*(1+$F$2)</f>
        <v>14951.25</v>
      </c>
      <c r="D18" s="7" t="n">
        <v>12471</v>
      </c>
      <c r="E18" s="7" t="n">
        <v>1864</v>
      </c>
      <c r="F18" s="7">
        <f>D18+E18*$D$2/$B$2</f>
        <v>17724.090909090908</v>
      </c>
      <c r="G18" s="8">
        <f>IF(C18=0,0,F18/C18)</f>
        <v>1.1854588017116232</v>
      </c>
      <c r="H18" s="15" t="str">
        <f>IF(G18&gt;=1,"צפוי לעמוד",IF(G18&gt;=0.85,"על הגבול","בסיכון"))</f>
        <v>צפוי לעמוד</v>
      </c>
    </row>
    <row r="19">
      <c r="A19" s="6" t="inlineStr">
        <is>
          <t>אדם</t>
        </is>
      </c>
      <c r="B19" s="7" t="n">
        <v>22300</v>
      </c>
      <c r="C19" s="7">
        <f>B19*(1+$F$2)</f>
        <v>27875</v>
      </c>
      <c r="D19" s="7" t="n">
        <v>10102</v>
      </c>
      <c r="E19" s="7" t="n">
        <v>2624</v>
      </c>
      <c r="F19" s="7">
        <f>D19+E19*$D$2/$B$2</f>
        <v>17496.909090909092</v>
      </c>
      <c r="G19" s="8">
        <f>IF(C19=0,0,F19/C19)</f>
        <v>0.6276918059518957</v>
      </c>
      <c r="H19" s="15" t="str">
        <f>IF(G19&gt;=1,"צפוי לעמוד",IF(G19&gt;=0.85,"על הגבול","בסיכון"))</f>
        <v>בסיכון</v>
      </c>
    </row>
    <row r="20">
      <c r="A20" s="6" t="inlineStr">
        <is>
          <t>38</t>
        </is>
      </c>
      <c r="B20" s="9" t="n">
        <v>11169</v>
      </c>
      <c r="C20" s="7">
        <f>B20*(1+$F$2)</f>
        <v>13961.25</v>
      </c>
      <c r="D20" s="7" t="n">
        <v>9922</v>
      </c>
      <c r="E20" s="7" t="n">
        <v>1247</v>
      </c>
      <c r="F20" s="7">
        <f>D20+E20*$D$2/$B$2</f>
        <v>13436.272727272728</v>
      </c>
      <c r="G20" s="8">
        <f>IF(C20=0,0,F20/C20)</f>
        <v>0.9623975451533873</v>
      </c>
      <c r="H20" s="15" t="str">
        <f>IF(G20&gt;=1,"צפוי לעמוד",IF(G20&gt;=0.85,"על הגבול","בסיכון"))</f>
        <v>על הגבול</v>
      </c>
    </row>
    <row r="21">
      <c r="A21" s="6" t="inlineStr">
        <is>
          <t>עומר</t>
        </is>
      </c>
      <c r="B21" s="7" t="n">
        <v>18161</v>
      </c>
      <c r="C21" s="7">
        <f>B21*(1+$F$2)</f>
        <v>22701.25</v>
      </c>
      <c r="D21" s="7" t="n">
        <v>7643</v>
      </c>
      <c r="E21" s="7" t="n">
        <v>2001</v>
      </c>
      <c r="F21" s="7">
        <f>D21+E21*$D$2/$B$2</f>
        <v>13282.181818181818</v>
      </c>
      <c r="G21" s="8">
        <f>IF(C21=0,0,F21/C21)</f>
        <v>0.5850859233822727</v>
      </c>
      <c r="H21" s="15" t="str">
        <f>IF(G21&gt;=1,"צפוי לעמוד",IF(G21&gt;=0.85,"על הגבול","בסיכון"))</f>
        <v>בסיכון</v>
      </c>
    </row>
    <row r="22">
      <c r="A22" s="6" t="inlineStr">
        <is>
          <t>ליעד</t>
        </is>
      </c>
      <c r="B22" s="7" t="n">
        <v>6165</v>
      </c>
      <c r="C22" s="7">
        <f>B22*(1+$F$2)</f>
        <v>7706.25</v>
      </c>
      <c r="D22" s="7" t="n">
        <v>6154</v>
      </c>
      <c r="E22" s="7" t="n">
        <v>1147</v>
      </c>
      <c r="F22" s="7">
        <f>D22+E22*$D$2/$B$2</f>
        <v>9386.454545454546</v>
      </c>
      <c r="G22" s="8">
        <f>IF(C22=0,0,F22/C22)</f>
        <v>1.2180314089803141</v>
      </c>
      <c r="H22" s="15" t="str">
        <f>IF(G22&gt;=1,"צפוי לעמוד",IF(G22&gt;=0.85,"על הגבול","בסיכון"))</f>
        <v>צפוי לעמוד</v>
      </c>
    </row>
    <row r="23">
      <c r="A23" s="6" t="inlineStr">
        <is>
          <t>וודיע</t>
        </is>
      </c>
      <c r="B23" s="7" t="n">
        <v>17407</v>
      </c>
      <c r="C23" s="7">
        <f>B23*(1+$F$2)</f>
        <v>21758.75</v>
      </c>
      <c r="D23" s="7" t="n">
        <v>5962</v>
      </c>
      <c r="E23" s="7" t="n">
        <v>1212</v>
      </c>
      <c r="F23" s="7">
        <f>D23+E23*$D$2/$B$2</f>
        <v>9377.636363636364</v>
      </c>
      <c r="G23" s="8">
        <f>IF(C23=0,0,F23/C23)</f>
        <v>0.4309823111914225</v>
      </c>
      <c r="H23" s="15" t="str">
        <f>IF(G23&gt;=1,"צפוי לעמוד",IF(G23&gt;=0.85,"על הגבול","בסיכון"))</f>
        <v>בסיכון</v>
      </c>
    </row>
    <row r="24">
      <c r="A24" s="6" t="inlineStr">
        <is>
          <t>35</t>
        </is>
      </c>
      <c r="B24" s="7" t="n">
        <v>804</v>
      </c>
      <c r="C24" s="7">
        <f>B24*(1+$F$2)</f>
        <v>1005</v>
      </c>
      <c r="D24" s="7" t="n">
        <v>1518</v>
      </c>
      <c r="E24" s="7" t="n">
        <v>1837</v>
      </c>
      <c r="F24" s="7">
        <f>D24+E24*$D$2/$B$2</f>
        <v>6695</v>
      </c>
      <c r="G24" s="8">
        <f>IF(C24=0,0,F24/C24)</f>
        <v>6.661691542288557</v>
      </c>
      <c r="H24" s="15" t="str">
        <f>IF(G24&gt;=1,"צפוי לעמוד",IF(G24&gt;=0.85,"על הגבול","בסיכון"))</f>
        <v>צפוי לעמוד</v>
      </c>
    </row>
    <row r="25">
      <c r="A25" s="6" t="inlineStr">
        <is>
          <t>עידן</t>
        </is>
      </c>
      <c r="B25" s="7" t="n">
        <v>8744</v>
      </c>
      <c r="C25" s="7">
        <f>B25*(1+$F$2)</f>
        <v>10930</v>
      </c>
      <c r="D25" s="7" t="n">
        <v>3500</v>
      </c>
      <c r="E25" s="7" t="n">
        <v>842</v>
      </c>
      <c r="F25" s="7">
        <f>D25+E25*$D$2/$B$2</f>
        <v>5872.909090909091</v>
      </c>
      <c r="G25" s="8">
        <f>IF(C25=0,0,F25/C25)</f>
        <v>0.5373201364052234</v>
      </c>
      <c r="H25" s="15" t="str">
        <f>IF(G25&gt;=1,"צפוי לעמוד",IF(G25&gt;=0.85,"על הגבול","בסיכון"))</f>
        <v>בסיכון</v>
      </c>
    </row>
    <row r="26">
      <c r="A26" s="6" t="inlineStr">
        <is>
          <t>37</t>
        </is>
      </c>
      <c r="B26" s="7" t="n">
        <v>5812</v>
      </c>
      <c r="C26" s="7">
        <f>B26*(1+$F$2)</f>
        <v>7265</v>
      </c>
      <c r="D26" s="7" t="n">
        <v>2629</v>
      </c>
      <c r="E26" s="7" t="n">
        <v>780</v>
      </c>
      <c r="F26" s="7">
        <f>D26+E26*$D$2/$B$2</f>
        <v>4827.181818181818</v>
      </c>
      <c r="G26" s="8">
        <f>IF(C26=0,0,F26/C26)</f>
        <v>0.6644434711881374</v>
      </c>
      <c r="H26" s="15" t="str">
        <f>IF(G26&gt;=1,"צפוי לעמוד",IF(G26&gt;=0.85,"על הגבול","בסיכון"))</f>
        <v>בסיכון</v>
      </c>
    </row>
    <row r="27">
      <c r="A27" s="6" t="inlineStr">
        <is>
          <t>יהונתן ודב</t>
        </is>
      </c>
      <c r="B27" s="7" t="n">
        <v>35407</v>
      </c>
      <c r="C27" s="7">
        <f>B27*(1+$F$2)</f>
        <v>44258.75</v>
      </c>
      <c r="D27" s="7" t="n">
        <v>4526</v>
      </c>
      <c r="E27" s="7" t="n">
        <v>0</v>
      </c>
      <c r="F27" s="7">
        <f>D27+E27*$D$2/$B$2</f>
        <v>4526</v>
      </c>
      <c r="G27" s="8">
        <f>IF(C27=0,0,F27/C27)</f>
        <v>0.10226226452396418</v>
      </c>
      <c r="H27" s="15" t="str">
        <f>IF(G27&gt;=1,"צפוי לעמוד",IF(G27&gt;=0.85,"על הגבול","בסיכון"))</f>
        <v>בסיכון</v>
      </c>
    </row>
    <row r="28">
      <c r="A28" s="6" t="inlineStr">
        <is>
          <t>36</t>
        </is>
      </c>
      <c r="B28" s="7" t="n">
        <v>5512</v>
      </c>
      <c r="C28" s="7">
        <f>B28*(1+$F$2)</f>
        <v>6890</v>
      </c>
      <c r="D28" s="7" t="n">
        <v>2496</v>
      </c>
      <c r="E28" s="7" t="n">
        <v>240</v>
      </c>
      <c r="F28" s="7">
        <f>D28+E28*$D$2/$B$2</f>
        <v>3172.3636363636365</v>
      </c>
      <c r="G28" s="8">
        <f>IF(C28=0,0,F28/C28)</f>
        <v>0.460430135901834</v>
      </c>
      <c r="H28" s="15" t="str">
        <f>IF(G28&gt;=1,"צפוי לעמוד",IF(G28&gt;=0.85,"על הגבול","בסיכון"))</f>
        <v>בסיכון</v>
      </c>
    </row>
    <row r="29">
      <c r="A29" s="10" t="inlineStr">
        <is>
          <t>סה"כ</t>
        </is>
      </c>
      <c r="B29" s="11">
        <f>SUM(B6:B28)</f>
        <v>523293</v>
      </c>
      <c r="C29" s="11">
        <f>SUM(C6:C28)</f>
        <v>654116.25</v>
      </c>
      <c r="D29" s="11">
        <f>SUM(D6:D28)</f>
        <v>264280</v>
      </c>
      <c r="E29" s="11">
        <f>SUM(E6:E28)</f>
        <v>84829</v>
      </c>
      <c r="F29" s="11">
        <f>SUM(F6:F28)</f>
        <v>503343.54545454547</v>
      </c>
      <c r="G29" s="12">
        <f>IF(C29=0,0,F29/C29)</f>
        <v>0.7695016680208533</v>
      </c>
      <c r="H29" s="16" t="str">
        <f>COUNTIF(H6:H28,"צפוי לעמוד")&amp;" מתוך "&amp;COUNTA(A6:A28)</f>
        <v>5 מתוך 23</v>
      </c>
    </row>
    <row r="31">
      <c r="A31" s="13" t="inlineStr">
        <is>
          <t>מקרא: ירוק = צפוי לעמוד ביעד · צהוב = על הגבול (85%–100%) · אדום = בסיכון (מתחת ל-85%). התחזית מניחה קצב מכירות אחיד; שינוי "ימים שחלפו" יעדכן את כל התחזיות. תא כתום = הבסיס מבוסס מכירות 2026 (אין לסוכן מכירות ב-2025).</t>
        </is>
      </c>
    </row>
  </sheetData>
  <mergeCells count="3">
    <mergeCell ref="A31:H31"/>
    <mergeCell ref="A3:H3"/>
    <mergeCell ref="A1:H1"/>
  </mergeCells>
  <conditionalFormatting sqref="G6:G28">
    <cfRule type="cellIs" priority="1" operator="greaterThanOrEqual" dxfId="0">
      <formula>1</formula>
    </cfRule>
    <cfRule type="cellIs" priority="2" operator="between" dxfId="1">
      <formula>0.85</formula>
      <formula>0.9999</formula>
    </cfRule>
    <cfRule type="cellIs" priority="3" operator="lessThan" dxfId="2">
      <formula>0.85</formula>
    </cfRule>
  </conditionalFormatting>
  <conditionalFormatting sqref="H6:H28">
    <cfRule type="expression" priority="4" dxfId="0">
      <formula>$G6&gt;=1</formula>
    </cfRule>
    <cfRule type="expression" priority="5" dxfId="1">
      <formula>AND($G6&gt;=0.85,$G6&lt;1)</formula>
    </cfRule>
    <cfRule type="expression" priority="6" dxfId="2">
      <formula>$G6&lt;0.85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rightToLeft="1" workbookViewId="0">
      <selection activeCell="A1" sqref="A1"/>
    </sheetView>
  </sheetViews>
  <sheetFormatPr baseColWidth="8" defaultRowHeight="15"/>
  <sheetData>
    <row r="1">
      <c r="A1" s="1" t="inlineStr">
        <is>
          <t>עמידה ביעד לפי סוכן – יעד מול תחזית סוף תקופה (₪)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0"/>
  <sheetViews>
    <sheetView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8" customWidth="1" min="3" max="3"/>
    <col width="20" customWidth="1" min="4" max="4"/>
    <col width="16" customWidth="1" min="5" max="5"/>
    <col width="14" customWidth="1" min="6" max="6"/>
  </cols>
  <sheetData>
    <row r="1">
      <c r="A1" s="1" t="inlineStr">
        <is>
          <t>יעדי מכירות – משקאות אנרגיה בלו | תקופה: יולי–אוגוסט</t>
        </is>
      </c>
    </row>
    <row r="2">
      <c r="A2" s="2" t="inlineStr">
        <is>
          <t>אחוז גידול יעד:</t>
        </is>
      </c>
      <c r="B2" s="3" t="n">
        <v>0.25</v>
      </c>
      <c r="C2" s="4" t="inlineStr">
        <is>
          <t>בסיס: מכירות בפועל יולי–אוגוסט 2025 (₪). יעד = בסיס × (1 + אחוז גידול).</t>
        </is>
      </c>
    </row>
    <row r="4">
      <c r="A4" s="5" t="inlineStr">
        <is>
          <t>שם סוכן</t>
        </is>
      </c>
      <c r="B4" s="5" t="inlineStr">
        <is>
          <t>מכירות 2025 (בסיס ₪)</t>
        </is>
      </c>
      <c r="C4" s="5" t="inlineStr">
        <is>
          <t>יעד 2026 (₪)</t>
        </is>
      </c>
      <c r="D4" s="5" t="inlineStr">
        <is>
          <t>בפועל 2026 עד כה (₪)</t>
        </is>
      </c>
      <c r="E4" s="5" t="inlineStr">
        <is>
          <t>פער ליעד (₪)</t>
        </is>
      </c>
      <c r="F4" s="5" t="inlineStr">
        <is>
          <t>% עמידה ביעד</t>
        </is>
      </c>
    </row>
    <row r="5">
      <c r="A5" s="6" t="inlineStr">
        <is>
          <t>נחמן</t>
        </is>
      </c>
      <c r="B5" s="7" t="n">
        <v>67046</v>
      </c>
      <c r="C5" s="7">
        <f>B5*(1+$B$2)</f>
        <v>83807.5</v>
      </c>
      <c r="D5" s="7" t="n">
        <v>49447</v>
      </c>
      <c r="E5" s="7">
        <f>D5-C5</f>
        <v>-34360.5</v>
      </c>
      <c r="F5" s="8">
        <f>IF(C5=0,0,D5/C5)</f>
        <v>0.5900068609611312</v>
      </c>
    </row>
    <row r="6">
      <c r="A6" s="6" t="inlineStr">
        <is>
          <t>אלון</t>
        </is>
      </c>
      <c r="B6" s="7" t="n">
        <v>48506</v>
      </c>
      <c r="C6" s="7">
        <f>B6*(1+$B$2)</f>
        <v>60632.5</v>
      </c>
      <c r="D6" s="7" t="n">
        <v>31585</v>
      </c>
      <c r="E6" s="7">
        <f>D6-C6</f>
        <v>-29047.5</v>
      </c>
      <c r="F6" s="8">
        <f>IF(C6=0,0,D6/C6)</f>
        <v>0.5209252463612749</v>
      </c>
    </row>
    <row r="7">
      <c r="A7" s="6" t="inlineStr">
        <is>
          <t>רפי</t>
        </is>
      </c>
      <c r="B7" s="7" t="n">
        <v>40728</v>
      </c>
      <c r="C7" s="7">
        <f>B7*(1+$B$2)</f>
        <v>50910</v>
      </c>
      <c r="D7" s="7" t="n">
        <v>29839</v>
      </c>
      <c r="E7" s="7">
        <f>D7-C7</f>
        <v>-21071</v>
      </c>
      <c r="F7" s="8">
        <f>IF(C7=0,0,D7/C7)</f>
        <v>0.5861127479866431</v>
      </c>
    </row>
    <row r="8">
      <c r="A8" s="6" t="inlineStr">
        <is>
          <t>ירין</t>
        </is>
      </c>
      <c r="B8" s="7" t="n">
        <v>39812</v>
      </c>
      <c r="C8" s="7">
        <f>B8*(1+$B$2)</f>
        <v>49765</v>
      </c>
      <c r="D8" s="7" t="n">
        <v>14116</v>
      </c>
      <c r="E8" s="7">
        <f>D8-C8</f>
        <v>-35649</v>
      </c>
      <c r="F8" s="8">
        <f>IF(C8=0,0,D8/C8)</f>
        <v>0.28365316989852307</v>
      </c>
    </row>
    <row r="9">
      <c r="A9" s="6" t="inlineStr">
        <is>
          <t>יהונתן ודב</t>
        </is>
      </c>
      <c r="B9" s="7" t="n">
        <v>35407</v>
      </c>
      <c r="C9" s="7">
        <f>B9*(1+$B$2)</f>
        <v>44258.75</v>
      </c>
      <c r="D9" s="7" t="n">
        <v>4526</v>
      </c>
      <c r="E9" s="7">
        <f>D9-C9</f>
        <v>-39732.75</v>
      </c>
      <c r="F9" s="8">
        <f>IF(C9=0,0,D9/C9)</f>
        <v>0.10226226452396418</v>
      </c>
    </row>
    <row r="10">
      <c r="A10" s="6" t="inlineStr">
        <is>
          <t>אלרואי</t>
        </is>
      </c>
      <c r="B10" s="7" t="n">
        <v>26966</v>
      </c>
      <c r="C10" s="7">
        <f>B10*(1+$B$2)</f>
        <v>33707.5</v>
      </c>
      <c r="D10" s="7" t="n">
        <v>14341</v>
      </c>
      <c r="E10" s="7">
        <f>D10-C10</f>
        <v>-19366.5</v>
      </c>
      <c r="F10" s="8">
        <f>IF(C10=0,0,D10/C10)</f>
        <v>0.425454275754654</v>
      </c>
    </row>
    <row r="11">
      <c r="A11" s="6" t="inlineStr">
        <is>
          <t>אוראל</t>
        </is>
      </c>
      <c r="B11" s="7" t="n">
        <v>26356</v>
      </c>
      <c r="C11" s="7">
        <f>B11*(1+$B$2)</f>
        <v>32945</v>
      </c>
      <c r="D11" s="7" t="n">
        <v>20175</v>
      </c>
      <c r="E11" s="7">
        <f>D11-C11</f>
        <v>-12770</v>
      </c>
      <c r="F11" s="8">
        <f>IF(C11=0,0,D11/C11)</f>
        <v>0.6123842768250114</v>
      </c>
    </row>
    <row r="12">
      <c r="A12" s="6" t="inlineStr">
        <is>
          <t>אייל</t>
        </is>
      </c>
      <c r="B12" s="7" t="n">
        <v>25525</v>
      </c>
      <c r="C12" s="7">
        <f>B12*(1+$B$2)</f>
        <v>31906.25</v>
      </c>
      <c r="D12" s="7" t="n">
        <v>16094</v>
      </c>
      <c r="E12" s="7">
        <f>D12-C12</f>
        <v>-15812.25</v>
      </c>
      <c r="F12" s="8">
        <f>IF(C12=0,0,D12/C12)</f>
        <v>0.5044152791380999</v>
      </c>
    </row>
    <row r="13">
      <c r="A13" s="6" t="inlineStr">
        <is>
          <t>רמי</t>
        </is>
      </c>
      <c r="B13" s="7" t="n">
        <v>23836</v>
      </c>
      <c r="C13" s="7">
        <f>B13*(1+$B$2)</f>
        <v>29795</v>
      </c>
      <c r="D13" s="7" t="n">
        <v>13529</v>
      </c>
      <c r="E13" s="7">
        <f>D13-C13</f>
        <v>-16266</v>
      </c>
      <c r="F13" s="8">
        <f>IF(C13=0,0,D13/C13)</f>
        <v>0.4540694747440846</v>
      </c>
    </row>
    <row r="14">
      <c r="A14" s="6" t="inlineStr">
        <is>
          <t>ישראל</t>
        </is>
      </c>
      <c r="B14" s="7" t="n">
        <v>23753</v>
      </c>
      <c r="C14" s="7">
        <f>B14*(1+$B$2)</f>
        <v>29691.25</v>
      </c>
      <c r="D14" s="7" t="n">
        <v>34314</v>
      </c>
      <c r="E14" s="7">
        <f>D14-C14</f>
        <v>4622.75</v>
      </c>
      <c r="F14" s="8">
        <f>IF(C14=0,0,D14/C14)</f>
        <v>1.155694017597777</v>
      </c>
    </row>
    <row r="15">
      <c r="A15" s="6" t="inlineStr">
        <is>
          <t>אדם</t>
        </is>
      </c>
      <c r="B15" s="7" t="n">
        <v>22300</v>
      </c>
      <c r="C15" s="7">
        <f>B15*(1+$B$2)</f>
        <v>27875</v>
      </c>
      <c r="D15" s="7" t="n">
        <v>12726</v>
      </c>
      <c r="E15" s="7">
        <f>D15-C15</f>
        <v>-15149</v>
      </c>
      <c r="F15" s="8">
        <f>IF(C15=0,0,D15/C15)</f>
        <v>0.4565381165919283</v>
      </c>
    </row>
    <row r="16">
      <c r="A16" s="6" t="inlineStr">
        <is>
          <t>בני</t>
        </is>
      </c>
      <c r="B16" s="7" t="n">
        <v>21063</v>
      </c>
      <c r="C16" s="7">
        <f>B16*(1+$B$2)</f>
        <v>26328.75</v>
      </c>
      <c r="D16" s="7" t="n">
        <v>16006</v>
      </c>
      <c r="E16" s="7">
        <f>D16-C16</f>
        <v>-10322.75</v>
      </c>
      <c r="F16" s="8">
        <f>IF(C16=0,0,D16/C16)</f>
        <v>0.6079285951668804</v>
      </c>
    </row>
    <row r="17">
      <c r="A17" s="6" t="inlineStr">
        <is>
          <t>צחי</t>
        </is>
      </c>
      <c r="B17" s="7" t="n">
        <v>19279</v>
      </c>
      <c r="C17" s="7">
        <f>B17*(1+$B$2)</f>
        <v>24098.75</v>
      </c>
      <c r="D17" s="7" t="n">
        <v>12598</v>
      </c>
      <c r="E17" s="7">
        <f>D17-C17</f>
        <v>-11500.75</v>
      </c>
      <c r="F17" s="8">
        <f>IF(C17=0,0,D17/C17)</f>
        <v>0.5227657036153327</v>
      </c>
    </row>
    <row r="18">
      <c r="A18" s="6" t="inlineStr">
        <is>
          <t>עומר</t>
        </is>
      </c>
      <c r="B18" s="7" t="n">
        <v>18161</v>
      </c>
      <c r="C18" s="7">
        <f>B18*(1+$B$2)</f>
        <v>22701.25</v>
      </c>
      <c r="D18" s="7" t="n">
        <v>9644</v>
      </c>
      <c r="E18" s="7">
        <f>D18-C18</f>
        <v>-13057.25</v>
      </c>
      <c r="F18" s="8">
        <f>IF(C18=0,0,D18/C18)</f>
        <v>0.42482242167281536</v>
      </c>
    </row>
    <row r="19">
      <c r="A19" s="6" t="inlineStr">
        <is>
          <t>וודיע</t>
        </is>
      </c>
      <c r="B19" s="7" t="n">
        <v>17407</v>
      </c>
      <c r="C19" s="7">
        <f>B19*(1+$B$2)</f>
        <v>21758.75</v>
      </c>
      <c r="D19" s="7" t="n">
        <v>7174</v>
      </c>
      <c r="E19" s="7">
        <f>D19-C19</f>
        <v>-14584.75</v>
      </c>
      <c r="F19" s="8">
        <f>IF(C19=0,0,D19/C19)</f>
        <v>0.329706439937956</v>
      </c>
    </row>
    <row r="20">
      <c r="A20" s="6" t="inlineStr">
        <is>
          <t>נדב</t>
        </is>
      </c>
      <c r="B20" s="7" t="n">
        <v>16981</v>
      </c>
      <c r="C20" s="7">
        <f>B20*(1+$B$2)</f>
        <v>21226.25</v>
      </c>
      <c r="D20" s="7" t="n">
        <v>16348</v>
      </c>
      <c r="E20" s="7">
        <f>D20-C20</f>
        <v>-4878.25</v>
      </c>
      <c r="F20" s="8">
        <f>IF(C20=0,0,D20/C20)</f>
        <v>0.770178434721159</v>
      </c>
    </row>
    <row r="21">
      <c r="A21" s="6" t="inlineStr">
        <is>
          <t>אילן</t>
        </is>
      </c>
      <c r="B21" s="7" t="n">
        <v>11961</v>
      </c>
      <c r="C21" s="7">
        <f>B21*(1+$B$2)</f>
        <v>14951.25</v>
      </c>
      <c r="D21" s="7" t="n">
        <v>14335</v>
      </c>
      <c r="E21" s="7">
        <f>D21-C21</f>
        <v>-616.25</v>
      </c>
      <c r="F21" s="8">
        <f>IF(C21=0,0,D21/C21)</f>
        <v>0.9587827104757127</v>
      </c>
    </row>
    <row r="22">
      <c r="A22" s="6" t="inlineStr">
        <is>
          <t>עידן</t>
        </is>
      </c>
      <c r="B22" s="7" t="n">
        <v>8744</v>
      </c>
      <c r="C22" s="7">
        <f>B22*(1+$B$2)</f>
        <v>10930</v>
      </c>
      <c r="D22" s="7" t="n">
        <v>4342</v>
      </c>
      <c r="E22" s="7">
        <f>D22-C22</f>
        <v>-6588</v>
      </c>
      <c r="F22" s="8">
        <f>IF(C22=0,0,D22/C22)</f>
        <v>0.3972552607502287</v>
      </c>
    </row>
    <row r="23">
      <c r="A23" s="6" t="inlineStr">
        <is>
          <t>ליעד</t>
        </is>
      </c>
      <c r="B23" s="7" t="n">
        <v>6165</v>
      </c>
      <c r="C23" s="7">
        <f>B23*(1+$B$2)</f>
        <v>7706.25</v>
      </c>
      <c r="D23" s="7" t="n">
        <v>7301</v>
      </c>
      <c r="E23" s="7">
        <f>D23-C23</f>
        <v>-405.25</v>
      </c>
      <c r="F23" s="8">
        <f>IF(C23=0,0,D23/C23)</f>
        <v>0.9474128142741282</v>
      </c>
    </row>
    <row r="24">
      <c r="A24" s="6" t="inlineStr">
        <is>
          <t>37</t>
        </is>
      </c>
      <c r="B24" s="7" t="n">
        <v>5812</v>
      </c>
      <c r="C24" s="7">
        <f>B24*(1+$B$2)</f>
        <v>7265</v>
      </c>
      <c r="D24" s="7" t="n">
        <v>3409</v>
      </c>
      <c r="E24" s="7">
        <f>D24-C24</f>
        <v>-3856</v>
      </c>
      <c r="F24" s="8">
        <f>IF(C24=0,0,D24/C24)</f>
        <v>0.4692360633172746</v>
      </c>
    </row>
    <row r="25">
      <c r="A25" s="6" t="inlineStr">
        <is>
          <t>36</t>
        </is>
      </c>
      <c r="B25" s="7" t="n">
        <v>5512</v>
      </c>
      <c r="C25" s="7">
        <f>B25*(1+$B$2)</f>
        <v>6890</v>
      </c>
      <c r="D25" s="7" t="n">
        <v>2736</v>
      </c>
      <c r="E25" s="7">
        <f>D25-C25</f>
        <v>-4154</v>
      </c>
      <c r="F25" s="8">
        <f>IF(C25=0,0,D25/C25)</f>
        <v>0.39709724238026123</v>
      </c>
    </row>
    <row r="26">
      <c r="A26" s="6" t="inlineStr">
        <is>
          <t>35</t>
        </is>
      </c>
      <c r="B26" s="7" t="n">
        <v>804</v>
      </c>
      <c r="C26" s="7">
        <f>B26*(1+$B$2)</f>
        <v>1005</v>
      </c>
      <c r="D26" s="7" t="n">
        <v>3355</v>
      </c>
      <c r="E26" s="7">
        <f>D26-C26</f>
        <v>2350</v>
      </c>
      <c r="F26" s="8">
        <f>IF(C26=0,0,D26/C26)</f>
        <v>3.3383084577114426</v>
      </c>
    </row>
    <row r="27">
      <c r="A27" s="6" t="inlineStr">
        <is>
          <t>38</t>
        </is>
      </c>
      <c r="B27" s="9" t="n">
        <v>11169</v>
      </c>
      <c r="C27" s="7">
        <f>B27*(1+$B$2)</f>
        <v>13961.25</v>
      </c>
      <c r="D27" s="7" t="n">
        <v>11169</v>
      </c>
      <c r="E27" s="7">
        <f>D27-C27</f>
        <v>-2792.25</v>
      </c>
      <c r="F27" s="8">
        <f>IF(C27=0,0,D27/C27)</f>
        <v>0.8</v>
      </c>
    </row>
    <row r="28">
      <c r="A28" s="10" t="inlineStr">
        <is>
          <t>סה"כ</t>
        </is>
      </c>
      <c r="B28" s="11">
        <f>SUM(B5:B27)</f>
        <v>523293</v>
      </c>
      <c r="C28" s="11">
        <f>SUM(C5:C27)</f>
        <v>654116.25</v>
      </c>
      <c r="D28" s="11">
        <f>SUM(D5:D27)</f>
        <v>349109</v>
      </c>
      <c r="E28" s="11">
        <f>SUM(E5:E27)</f>
        <v>-305007.25</v>
      </c>
      <c r="F28" s="12">
        <f>IF(C28=0,0,D28/C28)</f>
        <v>0.5337109420534959</v>
      </c>
    </row>
    <row r="30">
      <c r="A30" s="13" t="inlineStr">
        <is>
          <t>הערה: נתוני אוגוסט 2026 חלקיים (הדוח הופק ב-11/08/2026); "% עמידה ביעד" מתעדכן ככל שנצברות מכירות. תא כתום = הבסיס מבוסס מכירות 2026 (אין לסוכן מכירות ב-2025).</t>
        </is>
      </c>
    </row>
  </sheetData>
  <mergeCells count="3">
    <mergeCell ref="C2:F2"/>
    <mergeCell ref="A1:F1"/>
    <mergeCell ref="A30:F30"/>
  </mergeCell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40"/>
  <sheetViews>
    <sheetView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34" customWidth="1" min="3" max="3"/>
    <col width="12" customWidth="1" min="4" max="4"/>
    <col width="16" customWidth="1" min="5" max="5"/>
    <col width="14" customWidth="1" min="6" max="6"/>
    <col width="18" customWidth="1" min="7" max="7"/>
    <col width="20" customWidth="1" min="8" max="8"/>
  </cols>
  <sheetData>
    <row r="1">
      <c r="A1" s="17" t="inlineStr">
        <is>
          <t>יעדים לפי סוכן ופריט – 25% גידול על בסיס יולי–אוגוסט 2025</t>
        </is>
      </c>
    </row>
    <row r="3">
      <c r="A3" s="5" t="inlineStr">
        <is>
          <t>שם סוכן</t>
        </is>
      </c>
      <c r="B3" s="5" t="inlineStr">
        <is>
          <t>מפתח פריט</t>
        </is>
      </c>
      <c r="C3" s="5" t="inlineStr">
        <is>
          <t>שם פריט</t>
        </is>
      </c>
      <c r="D3" s="5" t="inlineStr">
        <is>
          <t>כמות 2025</t>
        </is>
      </c>
      <c r="E3" s="5" t="inlineStr">
        <is>
          <t>מכירות 2025 (₪)</t>
        </is>
      </c>
      <c r="F3" s="5" t="inlineStr">
        <is>
          <t>יעד כמות 2026</t>
        </is>
      </c>
      <c r="G3" s="5" t="inlineStr">
        <is>
          <t>יעד מכירות 2026 (₪)</t>
        </is>
      </c>
      <c r="H3" s="5" t="inlineStr">
        <is>
          <t>מכירות בפועל 2026 (₪)</t>
        </is>
      </c>
    </row>
    <row r="4">
      <c r="A4" s="18" t="inlineStr">
        <is>
          <t>נחמן</t>
        </is>
      </c>
      <c r="B4" s="19" t="inlineStr">
        <is>
          <t>144004</t>
        </is>
      </c>
      <c r="C4" s="18" t="inlineStr">
        <is>
          <t>בלו אנרגיה רגיל 250 מ"ל (כחול) BLU 1/24</t>
        </is>
      </c>
      <c r="D4" s="20" t="n">
        <v>517</v>
      </c>
      <c r="E4" s="21" t="n">
        <v>23499</v>
      </c>
      <c r="F4" s="20">
        <f>D4*(1+'יעדים לפי סוכן'!$B$2)</f>
        <v>646.25</v>
      </c>
      <c r="G4" s="21">
        <f>E4*(1+'יעדים לפי סוכן'!$B$2)</f>
        <v>29373.75</v>
      </c>
      <c r="H4" s="21" t="n">
        <v>1667</v>
      </c>
    </row>
    <row r="5">
      <c r="A5" s="18" t="inlineStr">
        <is>
          <t>נחמן</t>
        </is>
      </c>
      <c r="B5" s="19" t="inlineStr">
        <is>
          <t>144008</t>
        </is>
      </c>
      <c r="C5" s="18" t="inlineStr">
        <is>
          <t>בלו דיי אנרגיה (תכלת) DAY 250 מ"ל 1/24</t>
        </is>
      </c>
      <c r="D5" s="20" t="n">
        <v>423</v>
      </c>
      <c r="E5" s="21" t="n">
        <v>20752</v>
      </c>
      <c r="F5" s="20">
        <f>D5*(1+'יעדים לפי סוכן'!$B$2)</f>
        <v>528.75</v>
      </c>
      <c r="G5" s="21">
        <f>E5*(1+'יעדים לפי סוכן'!$B$2)</f>
        <v>25940</v>
      </c>
      <c r="H5" s="21" t="n">
        <v>10906</v>
      </c>
    </row>
    <row r="6">
      <c r="A6" s="18" t="inlineStr">
        <is>
          <t>נחמן</t>
        </is>
      </c>
      <c r="B6" s="19" t="inlineStr">
        <is>
          <t>144020</t>
        </is>
      </c>
      <c r="C6" s="18" t="inlineStr">
        <is>
          <t>בלו אנרגיה אקזוטיק (ירוק בהיר) 250מ 1/24</t>
        </is>
      </c>
      <c r="D6" s="20" t="n">
        <v>171</v>
      </c>
      <c r="E6" s="21" t="n">
        <v>8260</v>
      </c>
      <c r="F6" s="20">
        <f>D6*(1+'יעדים לפי סוכן'!$B$2)</f>
        <v>213.75</v>
      </c>
      <c r="G6" s="21">
        <f>E6*(1+'יעדים לפי סוכן'!$B$2)</f>
        <v>10325</v>
      </c>
      <c r="H6" s="21" t="n">
        <v>4092</v>
      </c>
    </row>
    <row r="7">
      <c r="A7" s="18" t="inlineStr">
        <is>
          <t>נחמן</t>
        </is>
      </c>
      <c r="B7" s="19" t="inlineStr">
        <is>
          <t>144016</t>
        </is>
      </c>
      <c r="C7" s="18" t="inlineStr">
        <is>
          <t>בלו אנרגיה אבטיח 1/24 250 מ"ל (ירוק) BLU -</t>
        </is>
      </c>
      <c r="D7" s="20" t="n">
        <v>161</v>
      </c>
      <c r="E7" s="21" t="n">
        <v>7929</v>
      </c>
      <c r="F7" s="20">
        <f>D7*(1+'יעדים לפי סוכן'!$B$2)</f>
        <v>201.25</v>
      </c>
      <c r="G7" s="21">
        <f>E7*(1+'יעדים לפי סוכן'!$B$2)</f>
        <v>9911.25</v>
      </c>
      <c r="H7" s="21" t="n">
        <v>4978</v>
      </c>
    </row>
    <row r="8">
      <c r="A8" s="18" t="inlineStr">
        <is>
          <t>נחמן</t>
        </is>
      </c>
      <c r="B8" s="19" t="inlineStr">
        <is>
          <t>144012</t>
        </is>
      </c>
      <c r="C8" s="18" t="inlineStr">
        <is>
          <t>בלו אנרגיה מוחיטו 250 מ"ל (שחור) 1/24</t>
        </is>
      </c>
      <c r="D8" s="20" t="n">
        <v>137</v>
      </c>
      <c r="E8" s="21" t="n">
        <v>6606</v>
      </c>
      <c r="F8" s="20">
        <f>D8*(1+'יעדים לפי סוכן'!$B$2)</f>
        <v>171.25</v>
      </c>
      <c r="G8" s="21">
        <f>E8*(1+'יעדים לפי סוכן'!$B$2)</f>
        <v>8257.5</v>
      </c>
      <c r="H8" s="21" t="n">
        <v>4917</v>
      </c>
    </row>
    <row r="9">
      <c r="A9" s="18" t="inlineStr">
        <is>
          <t>נחמן</t>
        </is>
      </c>
      <c r="B9" s="19" t="inlineStr">
        <is>
          <t>144005</t>
        </is>
      </c>
      <c r="C9" s="18" t="inlineStr">
        <is>
          <t>בלו מונדיאל רגיל 250 מ"ל (כחול) BLU 1/24</t>
        </is>
      </c>
      <c r="D9" s="20" t="n">
        <v>0</v>
      </c>
      <c r="E9" s="21" t="n">
        <v>0</v>
      </c>
      <c r="F9" s="20">
        <f>D9*(1+'יעדים לפי סוכן'!$B$2)</f>
        <v>0</v>
      </c>
      <c r="G9" s="21">
        <f>E9*(1+'יעדים לפי סוכן'!$B$2)</f>
        <v>0</v>
      </c>
      <c r="H9" s="21" t="n">
        <v>14315</v>
      </c>
    </row>
    <row r="10">
      <c r="A10" s="18" t="inlineStr">
        <is>
          <t>נחמן</t>
        </is>
      </c>
      <c r="B10" s="19" t="inlineStr">
        <is>
          <t>144010</t>
        </is>
      </c>
      <c r="C10" s="18" t="inlineStr">
        <is>
          <t>בלו אנרגיה דיי ענבים (סגול) DAY 250 מ"ל 1/24</t>
        </is>
      </c>
      <c r="D10" s="20" t="n">
        <v>0</v>
      </c>
      <c r="E10" s="21" t="n">
        <v>0</v>
      </c>
      <c r="F10" s="20">
        <f>D10*(1+'יעדים לפי סוכן'!$B$2)</f>
        <v>0</v>
      </c>
      <c r="G10" s="21">
        <f>E10*(1+'יעדים לפי סוכן'!$B$2)</f>
        <v>0</v>
      </c>
      <c r="H10" s="21" t="n">
        <v>2360</v>
      </c>
    </row>
    <row r="11">
      <c r="A11" s="18" t="inlineStr">
        <is>
          <t>נחמן</t>
        </is>
      </c>
      <c r="B11" s="19" t="inlineStr">
        <is>
          <t>144028</t>
        </is>
      </c>
      <c r="C11" s="18" t="inlineStr">
        <is>
          <t>בלו אנרגיה קרנברי (אדום) 250 מ"ל 1/24</t>
        </is>
      </c>
      <c r="D11" s="20" t="n">
        <v>0</v>
      </c>
      <c r="E11" s="21" t="n">
        <v>0</v>
      </c>
      <c r="F11" s="20">
        <f>D11*(1+'יעדים לפי סוכן'!$B$2)</f>
        <v>0</v>
      </c>
      <c r="G11" s="21">
        <f>E11*(1+'יעדים לפי סוכן'!$B$2)</f>
        <v>0</v>
      </c>
      <c r="H11" s="21" t="n">
        <v>1684</v>
      </c>
    </row>
    <row r="12">
      <c r="A12" s="18" t="inlineStr">
        <is>
          <t>נחמן</t>
        </is>
      </c>
      <c r="B12" s="19" t="inlineStr">
        <is>
          <t>144024</t>
        </is>
      </c>
      <c r="C12" s="18" t="inlineStr">
        <is>
          <t>בלו רגיל אנרגיה ללא סוכר 6 קלוריות 250 מ"ל (אדום) 1/24</t>
        </is>
      </c>
      <c r="D12" s="20" t="n">
        <v>0</v>
      </c>
      <c r="E12" s="21" t="n">
        <v>0</v>
      </c>
      <c r="F12" s="20">
        <f>D12*(1+'יעדים לפי סוכן'!$B$2)</f>
        <v>0</v>
      </c>
      <c r="G12" s="21">
        <f>E12*(1+'יעדים לפי סוכן'!$B$2)</f>
        <v>0</v>
      </c>
      <c r="H12" s="21" t="n">
        <v>982</v>
      </c>
    </row>
    <row r="13">
      <c r="A13" s="18" t="inlineStr">
        <is>
          <t>נחמן</t>
        </is>
      </c>
      <c r="B13" s="19" t="inlineStr">
        <is>
          <t>144050</t>
        </is>
      </c>
      <c r="C13" s="18" t="inlineStr">
        <is>
          <t>בלו אנרגיה רגיל 150 מ"ל 1/24 (כחול)</t>
        </is>
      </c>
      <c r="D13" s="20" t="n">
        <v>0</v>
      </c>
      <c r="E13" s="21" t="n">
        <v>0</v>
      </c>
      <c r="F13" s="20">
        <f>D13*(1+'יעדים לפי סוכן'!$B$2)</f>
        <v>0</v>
      </c>
      <c r="G13" s="21">
        <f>E13*(1+'יעדים לפי סוכן'!$B$2)</f>
        <v>0</v>
      </c>
      <c r="H13" s="21" t="n">
        <v>1311</v>
      </c>
    </row>
    <row r="14">
      <c r="A14" s="18" t="inlineStr">
        <is>
          <t>נחמן</t>
        </is>
      </c>
      <c r="B14" s="19" t="inlineStr">
        <is>
          <t>144051</t>
        </is>
      </c>
      <c r="C14" s="18" t="inlineStr">
        <is>
          <t>בלו דיי אנרגיה 150 מ"ל 1/24 (תכלת)</t>
        </is>
      </c>
      <c r="D14" s="20" t="n">
        <v>0</v>
      </c>
      <c r="E14" s="21" t="n">
        <v>0</v>
      </c>
      <c r="F14" s="20">
        <f>D14*(1+'יעדים לפי סוכן'!$B$2)</f>
        <v>0</v>
      </c>
      <c r="G14" s="21">
        <f>E14*(1+'יעדים לפי סוכן'!$B$2)</f>
        <v>0</v>
      </c>
      <c r="H14" s="21" t="n">
        <v>1378</v>
      </c>
    </row>
    <row r="15">
      <c r="A15" s="18" t="inlineStr">
        <is>
          <t>נחמן</t>
        </is>
      </c>
      <c r="B15" s="19" t="inlineStr">
        <is>
          <t>144052</t>
        </is>
      </c>
      <c r="C15" s="18" t="inlineStr">
        <is>
          <t>בלו מוחיטו אנרגיה 150 מ"ל 1/24 (שחור)</t>
        </is>
      </c>
      <c r="D15" s="20" t="n">
        <v>0</v>
      </c>
      <c r="E15" s="21" t="n">
        <v>0</v>
      </c>
      <c r="F15" s="20">
        <f>D15*(1+'יעדים לפי סוכן'!$B$2)</f>
        <v>0</v>
      </c>
      <c r="G15" s="21">
        <f>E15*(1+'יעדים לפי סוכן'!$B$2)</f>
        <v>0</v>
      </c>
      <c r="H15" s="21" t="n">
        <v>857</v>
      </c>
    </row>
    <row r="16">
      <c r="A16" s="18" t="inlineStr">
        <is>
          <t>אלון</t>
        </is>
      </c>
      <c r="B16" s="19" t="inlineStr">
        <is>
          <t>144008</t>
        </is>
      </c>
      <c r="C16" s="18" t="inlineStr">
        <is>
          <t>בלו דיי אנרגיה (תכלת) DAY 250 מ"ל 1/24</t>
        </is>
      </c>
      <c r="D16" s="20" t="n">
        <v>374</v>
      </c>
      <c r="E16" s="21" t="n">
        <v>18671</v>
      </c>
      <c r="F16" s="20">
        <f>D16*(1+'יעדים לפי סוכן'!$B$2)</f>
        <v>467.5</v>
      </c>
      <c r="G16" s="21">
        <f>E16*(1+'יעדים לפי סוכן'!$B$2)</f>
        <v>23338.75</v>
      </c>
      <c r="H16" s="21" t="n">
        <v>10054</v>
      </c>
    </row>
    <row r="17">
      <c r="A17" s="18" t="inlineStr">
        <is>
          <t>אלון</t>
        </is>
      </c>
      <c r="B17" s="19" t="inlineStr">
        <is>
          <t>144004</t>
        </is>
      </c>
      <c r="C17" s="18" t="inlineStr">
        <is>
          <t>בלו אנרגיה רגיל 250 מ"ל (כחול) BLU 1/24</t>
        </is>
      </c>
      <c r="D17" s="20" t="n">
        <v>288</v>
      </c>
      <c r="E17" s="21" t="n">
        <v>13878</v>
      </c>
      <c r="F17" s="20">
        <f>D17*(1+'יעדים לפי סוכן'!$B$2)</f>
        <v>360</v>
      </c>
      <c r="G17" s="21">
        <f>E17*(1+'יעדים לפי סוכן'!$B$2)</f>
        <v>17347.5</v>
      </c>
      <c r="H17" s="21" t="n">
        <v>6961</v>
      </c>
    </row>
    <row r="18">
      <c r="A18" s="18" t="inlineStr">
        <is>
          <t>אלון</t>
        </is>
      </c>
      <c r="B18" s="19" t="inlineStr">
        <is>
          <t>144012</t>
        </is>
      </c>
      <c r="C18" s="18" t="inlineStr">
        <is>
          <t>בלו אנרגיה מוחיטו 250 מ"ל (שחור) 1/24</t>
        </is>
      </c>
      <c r="D18" s="20" t="n">
        <v>121</v>
      </c>
      <c r="E18" s="21" t="n">
        <v>6180</v>
      </c>
      <c r="F18" s="20">
        <f>D18*(1+'יעדים לפי סוכן'!$B$2)</f>
        <v>151.25</v>
      </c>
      <c r="G18" s="21">
        <f>E18*(1+'יעדים לפי סוכן'!$B$2)</f>
        <v>7725</v>
      </c>
      <c r="H18" s="21" t="n">
        <v>5153</v>
      </c>
    </row>
    <row r="19">
      <c r="A19" s="18" t="inlineStr">
        <is>
          <t>אלון</t>
        </is>
      </c>
      <c r="B19" s="19" t="inlineStr">
        <is>
          <t>144020</t>
        </is>
      </c>
      <c r="C19" s="18" t="inlineStr">
        <is>
          <t>בלו אנרגיה אקזוטיק (ירוק בהיר) 250מ 1/24</t>
        </is>
      </c>
      <c r="D19" s="20" t="n">
        <v>106</v>
      </c>
      <c r="E19" s="21" t="n">
        <v>5381</v>
      </c>
      <c r="F19" s="20">
        <f>D19*(1+'יעדים לפי סוכן'!$B$2)</f>
        <v>132.5</v>
      </c>
      <c r="G19" s="21">
        <f>E19*(1+'יעדים לפי סוכן'!$B$2)</f>
        <v>6726.25</v>
      </c>
      <c r="H19" s="21" t="n">
        <v>3531</v>
      </c>
    </row>
    <row r="20">
      <c r="A20" s="18" t="inlineStr">
        <is>
          <t>אלון</t>
        </is>
      </c>
      <c r="B20" s="19" t="inlineStr">
        <is>
          <t>144016</t>
        </is>
      </c>
      <c r="C20" s="18" t="inlineStr">
        <is>
          <t>בלו אנרגיה אבטיח 1/24 250 מ"ל (ירוק) BLU -</t>
        </is>
      </c>
      <c r="D20" s="20" t="n">
        <v>86</v>
      </c>
      <c r="E20" s="21" t="n">
        <v>4396</v>
      </c>
      <c r="F20" s="20">
        <f>D20*(1+'יעדים לפי סוכן'!$B$2)</f>
        <v>107.5</v>
      </c>
      <c r="G20" s="21">
        <f>E20*(1+'יעדים לפי סוכן'!$B$2)</f>
        <v>5495</v>
      </c>
      <c r="H20" s="21" t="n">
        <v>2261</v>
      </c>
    </row>
    <row r="21">
      <c r="A21" s="18" t="inlineStr">
        <is>
          <t>אלון</t>
        </is>
      </c>
      <c r="B21" s="19" t="inlineStr">
        <is>
          <t>144028</t>
        </is>
      </c>
      <c r="C21" s="18" t="inlineStr">
        <is>
          <t>בלו אנרגיה קרנברי (אדום) 250 מ"ל 1/24</t>
        </is>
      </c>
      <c r="D21" s="20" t="n">
        <v>0</v>
      </c>
      <c r="E21" s="21" t="n">
        <v>0</v>
      </c>
      <c r="F21" s="20">
        <f>D21*(1+'יעדים לפי סוכן'!$B$2)</f>
        <v>0</v>
      </c>
      <c r="G21" s="21">
        <f>E21*(1+'יעדים לפי סוכן'!$B$2)</f>
        <v>0</v>
      </c>
      <c r="H21" s="21" t="n">
        <v>289</v>
      </c>
    </row>
    <row r="22">
      <c r="A22" s="18" t="inlineStr">
        <is>
          <t>אלון</t>
        </is>
      </c>
      <c r="B22" s="19" t="inlineStr">
        <is>
          <t>144010</t>
        </is>
      </c>
      <c r="C22" s="18" t="inlineStr">
        <is>
          <t>בלו אנרגיה דיי ענבים (סגול) DAY 250 מ"ל 1/24</t>
        </is>
      </c>
      <c r="D22" s="20" t="n">
        <v>0</v>
      </c>
      <c r="E22" s="21" t="n">
        <v>0</v>
      </c>
      <c r="F22" s="20">
        <f>D22*(1+'יעדים לפי סוכן'!$B$2)</f>
        <v>0</v>
      </c>
      <c r="G22" s="21">
        <f>E22*(1+'יעדים לפי סוכן'!$B$2)</f>
        <v>0</v>
      </c>
      <c r="H22" s="21" t="n">
        <v>1396</v>
      </c>
    </row>
    <row r="23">
      <c r="A23" s="18" t="inlineStr">
        <is>
          <t>אלון</t>
        </is>
      </c>
      <c r="B23" s="19" t="inlineStr">
        <is>
          <t>144005</t>
        </is>
      </c>
      <c r="C23" s="18" t="inlineStr">
        <is>
          <t>בלו מונדיאל רגיל 250 מ"ל (כחול) BLU 1/24</t>
        </is>
      </c>
      <c r="D23" s="20" t="n">
        <v>0</v>
      </c>
      <c r="E23" s="21" t="n">
        <v>0</v>
      </c>
      <c r="F23" s="20">
        <f>D23*(1+'יעדים לפי סוכן'!$B$2)</f>
        <v>0</v>
      </c>
      <c r="G23" s="21">
        <f>E23*(1+'יעדים לפי סוכן'!$B$2)</f>
        <v>0</v>
      </c>
      <c r="H23" s="21" t="n">
        <v>820</v>
      </c>
    </row>
    <row r="24">
      <c r="A24" s="18" t="inlineStr">
        <is>
          <t>אלון</t>
        </is>
      </c>
      <c r="B24" s="19" t="inlineStr">
        <is>
          <t>144051</t>
        </is>
      </c>
      <c r="C24" s="18" t="inlineStr">
        <is>
          <t>בלו דיי אנרגיה 150 מ"ל 1/24 (תכלת)</t>
        </is>
      </c>
      <c r="D24" s="20" t="n">
        <v>0</v>
      </c>
      <c r="E24" s="21" t="n">
        <v>0</v>
      </c>
      <c r="F24" s="20">
        <f>D24*(1+'יעדים לפי סוכן'!$B$2)</f>
        <v>0</v>
      </c>
      <c r="G24" s="21">
        <f>E24*(1+'יעדים לפי סוכן'!$B$2)</f>
        <v>0</v>
      </c>
      <c r="H24" s="21" t="n">
        <v>344</v>
      </c>
    </row>
    <row r="25">
      <c r="A25" s="18" t="inlineStr">
        <is>
          <t>אלון</t>
        </is>
      </c>
      <c r="B25" s="19" t="inlineStr">
        <is>
          <t>144052</t>
        </is>
      </c>
      <c r="C25" s="18" t="inlineStr">
        <is>
          <t>בלו מוחיטו אנרגיה 150 מ"ל 1/24 (שחור)</t>
        </is>
      </c>
      <c r="D25" s="20" t="n">
        <v>0</v>
      </c>
      <c r="E25" s="21" t="n">
        <v>0</v>
      </c>
      <c r="F25" s="20">
        <f>D25*(1+'יעדים לפי סוכן'!$B$2)</f>
        <v>0</v>
      </c>
      <c r="G25" s="21">
        <f>E25*(1+'יעדים לפי סוכן'!$B$2)</f>
        <v>0</v>
      </c>
      <c r="H25" s="21" t="n">
        <v>172</v>
      </c>
    </row>
    <row r="26">
      <c r="A26" s="18" t="inlineStr">
        <is>
          <t>אלון</t>
        </is>
      </c>
      <c r="B26" s="19" t="inlineStr">
        <is>
          <t>144024</t>
        </is>
      </c>
      <c r="C26" s="18" t="inlineStr">
        <is>
          <t>בלו רגיל אנרגיה ללא סוכר 6 קלוריות 250 מ"ל (אדום) 1/24</t>
        </is>
      </c>
      <c r="D26" s="20" t="n">
        <v>0</v>
      </c>
      <c r="E26" s="21" t="n">
        <v>0</v>
      </c>
      <c r="F26" s="20">
        <f>D26*(1+'יעדים לפי סוכן'!$B$2)</f>
        <v>0</v>
      </c>
      <c r="G26" s="21">
        <f>E26*(1+'יעדים לפי סוכן'!$B$2)</f>
        <v>0</v>
      </c>
      <c r="H26" s="21" t="n">
        <v>149</v>
      </c>
    </row>
    <row r="27">
      <c r="A27" s="18" t="inlineStr">
        <is>
          <t>אלון</t>
        </is>
      </c>
      <c r="B27" s="19" t="inlineStr">
        <is>
          <t>144050</t>
        </is>
      </c>
      <c r="C27" s="18" t="inlineStr">
        <is>
          <t>בלו אנרגיה רגיל 150 מ"ל 1/24 (כחול)</t>
        </is>
      </c>
      <c r="D27" s="20" t="n">
        <v>0</v>
      </c>
      <c r="E27" s="21" t="n">
        <v>0</v>
      </c>
      <c r="F27" s="20">
        <f>D27*(1+'יעדים לפי סוכן'!$B$2)</f>
        <v>0</v>
      </c>
      <c r="G27" s="21">
        <f>E27*(1+'יעדים לפי סוכן'!$B$2)</f>
        <v>0</v>
      </c>
      <c r="H27" s="21" t="n">
        <v>455</v>
      </c>
    </row>
    <row r="28">
      <c r="A28" s="18" t="inlineStr">
        <is>
          <t>רפי</t>
        </is>
      </c>
      <c r="B28" s="19" t="inlineStr">
        <is>
          <t>144008</t>
        </is>
      </c>
      <c r="C28" s="18" t="inlineStr">
        <is>
          <t>בלו דיי אנרגיה (תכלת) DAY 250 מ"ל 1/24</t>
        </is>
      </c>
      <c r="D28" s="20" t="n">
        <v>240</v>
      </c>
      <c r="E28" s="21" t="n">
        <v>13184</v>
      </c>
      <c r="F28" s="20">
        <f>D28*(1+'יעדים לפי סוכן'!$B$2)</f>
        <v>300</v>
      </c>
      <c r="G28" s="21">
        <f>E28*(1+'יעדים לפי סוכן'!$B$2)</f>
        <v>16480</v>
      </c>
      <c r="H28" s="21" t="n">
        <v>8565</v>
      </c>
    </row>
    <row r="29">
      <c r="A29" s="18" t="inlineStr">
        <is>
          <t>רפי</t>
        </is>
      </c>
      <c r="B29" s="19" t="inlineStr">
        <is>
          <t>144004</t>
        </is>
      </c>
      <c r="C29" s="18" t="inlineStr">
        <is>
          <t>בלו אנרגיה רגיל 250 מ"ל (כחול) BLU 1/24</t>
        </is>
      </c>
      <c r="D29" s="20" t="n">
        <v>181</v>
      </c>
      <c r="E29" s="21" t="n">
        <v>9661</v>
      </c>
      <c r="F29" s="20">
        <f>D29*(1+'יעדים לפי סוכן'!$B$2)</f>
        <v>226.25</v>
      </c>
      <c r="G29" s="21">
        <f>E29*(1+'יעדים לפי סוכן'!$B$2)</f>
        <v>12076.25</v>
      </c>
      <c r="H29" s="21" t="n">
        <v>7738</v>
      </c>
    </row>
    <row r="30">
      <c r="A30" s="18" t="inlineStr">
        <is>
          <t>רפי</t>
        </is>
      </c>
      <c r="B30" s="19" t="inlineStr">
        <is>
          <t>144012</t>
        </is>
      </c>
      <c r="C30" s="18" t="inlineStr">
        <is>
          <t>בלו אנרגיה מוחיטו 250 מ"ל (שחור) 1/24</t>
        </is>
      </c>
      <c r="D30" s="20" t="n">
        <v>170</v>
      </c>
      <c r="E30" s="21" t="n">
        <v>9341</v>
      </c>
      <c r="F30" s="20">
        <f>D30*(1+'יעדים לפי סוכן'!$B$2)</f>
        <v>212.5</v>
      </c>
      <c r="G30" s="21">
        <f>E30*(1+'יעדים לפי סוכן'!$B$2)</f>
        <v>11676.25</v>
      </c>
      <c r="H30" s="21" t="n">
        <v>5519</v>
      </c>
    </row>
    <row r="31">
      <c r="A31" s="18" t="inlineStr">
        <is>
          <t>רפי</t>
        </is>
      </c>
      <c r="B31" s="19" t="inlineStr">
        <is>
          <t>144016</t>
        </is>
      </c>
      <c r="C31" s="18" t="inlineStr">
        <is>
          <t>בלו אנרגיה אבטיח 1/24 250 מ"ל (ירוק) BLU -</t>
        </is>
      </c>
      <c r="D31" s="20" t="n">
        <v>86</v>
      </c>
      <c r="E31" s="21" t="n">
        <v>4669</v>
      </c>
      <c r="F31" s="20">
        <f>D31*(1+'יעדים לפי סוכן'!$B$2)</f>
        <v>107.5</v>
      </c>
      <c r="G31" s="21">
        <f>E31*(1+'יעדים לפי סוכן'!$B$2)</f>
        <v>5836.25</v>
      </c>
      <c r="H31" s="21" t="n">
        <v>2663</v>
      </c>
    </row>
    <row r="32">
      <c r="A32" s="18" t="inlineStr">
        <is>
          <t>רפי</t>
        </is>
      </c>
      <c r="B32" s="19" t="inlineStr">
        <is>
          <t>144020</t>
        </is>
      </c>
      <c r="C32" s="18" t="inlineStr">
        <is>
          <t>בלו אנרגיה אקזוטיק (ירוק בהיר) 250מ 1/24</t>
        </is>
      </c>
      <c r="D32" s="20" t="n">
        <v>70</v>
      </c>
      <c r="E32" s="21" t="n">
        <v>3873</v>
      </c>
      <c r="F32" s="20">
        <f>D32*(1+'יעדים לפי סוכן'!$B$2)</f>
        <v>87.5</v>
      </c>
      <c r="G32" s="21">
        <f>E32*(1+'יעדים לפי סוכן'!$B$2)</f>
        <v>4841.25</v>
      </c>
      <c r="H32" s="21" t="n">
        <v>2332</v>
      </c>
    </row>
    <row r="33">
      <c r="A33" s="18" t="inlineStr">
        <is>
          <t>רפי</t>
        </is>
      </c>
      <c r="B33" s="19" t="inlineStr">
        <is>
          <t>144010</t>
        </is>
      </c>
      <c r="C33" s="18" t="inlineStr">
        <is>
          <t>בלו אנרגיה דיי ענבים (סגול) DAY 250 מ"ל 1/24</t>
        </is>
      </c>
      <c r="D33" s="20" t="n">
        <v>0</v>
      </c>
      <c r="E33" s="21" t="n">
        <v>0</v>
      </c>
      <c r="F33" s="20">
        <f>D33*(1+'יעדים לפי סוכן'!$B$2)</f>
        <v>0</v>
      </c>
      <c r="G33" s="21">
        <f>E33*(1+'יעדים לפי סוכן'!$B$2)</f>
        <v>0</v>
      </c>
      <c r="H33" s="21" t="n">
        <v>865</v>
      </c>
    </row>
    <row r="34">
      <c r="A34" s="18" t="inlineStr">
        <is>
          <t>רפי</t>
        </is>
      </c>
      <c r="B34" s="19" t="inlineStr">
        <is>
          <t>144024</t>
        </is>
      </c>
      <c r="C34" s="18" t="inlineStr">
        <is>
          <t>בלו רגיל אנרגיה ללא סוכר 6 קלוריות 250 מ"ל (אדום) 1/24</t>
        </is>
      </c>
      <c r="D34" s="20" t="n">
        <v>0</v>
      </c>
      <c r="E34" s="21" t="n">
        <v>0</v>
      </c>
      <c r="F34" s="20">
        <f>D34*(1+'יעדים לפי סוכן'!$B$2)</f>
        <v>0</v>
      </c>
      <c r="G34" s="21">
        <f>E34*(1+'יעדים לפי סוכן'!$B$2)</f>
        <v>0</v>
      </c>
      <c r="H34" s="21" t="n">
        <v>536</v>
      </c>
    </row>
    <row r="35">
      <c r="A35" s="18" t="inlineStr">
        <is>
          <t>רפי</t>
        </is>
      </c>
      <c r="B35" s="19" t="inlineStr">
        <is>
          <t>144028</t>
        </is>
      </c>
      <c r="C35" s="18" t="inlineStr">
        <is>
          <t>בלו אנרגיה קרנברי (אדום) 250 מ"ל 1/24</t>
        </is>
      </c>
      <c r="D35" s="20" t="n">
        <v>0</v>
      </c>
      <c r="E35" s="21" t="n">
        <v>0</v>
      </c>
      <c r="F35" s="20">
        <f>D35*(1+'יעדים לפי סוכן'!$B$2)</f>
        <v>0</v>
      </c>
      <c r="G35" s="21">
        <f>E35*(1+'יעדים לפי סוכן'!$B$2)</f>
        <v>0</v>
      </c>
      <c r="H35" s="21" t="n">
        <v>714</v>
      </c>
    </row>
    <row r="36">
      <c r="A36" s="18" t="inlineStr">
        <is>
          <t>רפי</t>
        </is>
      </c>
      <c r="B36" s="19" t="inlineStr">
        <is>
          <t>144051</t>
        </is>
      </c>
      <c r="C36" s="18" t="inlineStr">
        <is>
          <t>בלו דיי אנרגיה 150 מ"ל 1/24 (תכלת)</t>
        </is>
      </c>
      <c r="D36" s="20" t="n">
        <v>0</v>
      </c>
      <c r="E36" s="21" t="n">
        <v>0</v>
      </c>
      <c r="F36" s="20">
        <f>D36*(1+'יעדים לפי סוכן'!$B$2)</f>
        <v>0</v>
      </c>
      <c r="G36" s="21">
        <f>E36*(1+'יעדים לפי סוכן'!$B$2)</f>
        <v>0</v>
      </c>
      <c r="H36" s="21" t="n">
        <v>432</v>
      </c>
    </row>
    <row r="37">
      <c r="A37" s="18" t="inlineStr">
        <is>
          <t>רפי</t>
        </is>
      </c>
      <c r="B37" s="19" t="inlineStr">
        <is>
          <t>144052</t>
        </is>
      </c>
      <c r="C37" s="18" t="inlineStr">
        <is>
          <t>בלו מוחיטו אנרגיה 150 מ"ל 1/24 (שחור)</t>
        </is>
      </c>
      <c r="D37" s="20" t="n">
        <v>0</v>
      </c>
      <c r="E37" s="21" t="n">
        <v>0</v>
      </c>
      <c r="F37" s="20">
        <f>D37*(1+'יעדים לפי סוכן'!$B$2)</f>
        <v>0</v>
      </c>
      <c r="G37" s="21">
        <f>E37*(1+'יעדים לפי סוכן'!$B$2)</f>
        <v>0</v>
      </c>
      <c r="H37" s="21" t="n">
        <v>475</v>
      </c>
    </row>
    <row r="38">
      <c r="A38" s="18" t="inlineStr">
        <is>
          <t>ירין</t>
        </is>
      </c>
      <c r="B38" s="19" t="inlineStr">
        <is>
          <t>144004</t>
        </is>
      </c>
      <c r="C38" s="18" t="inlineStr">
        <is>
          <t>בלו אנרגיה רגיל 250 מ"ל (כחול) BLU 1/24</t>
        </is>
      </c>
      <c r="D38" s="20" t="n">
        <v>370</v>
      </c>
      <c r="E38" s="21" t="n">
        <v>17151</v>
      </c>
      <c r="F38" s="20">
        <f>D38*(1+'יעדים לפי סוכן'!$B$2)</f>
        <v>462.5</v>
      </c>
      <c r="G38" s="21">
        <f>E38*(1+'יעדים לפי סוכן'!$B$2)</f>
        <v>21438.75</v>
      </c>
      <c r="H38" s="21" t="n">
        <v>2283</v>
      </c>
    </row>
    <row r="39">
      <c r="A39" s="18" t="inlineStr">
        <is>
          <t>ירין</t>
        </is>
      </c>
      <c r="B39" s="19" t="inlineStr">
        <is>
          <t>144008</t>
        </is>
      </c>
      <c r="C39" s="18" t="inlineStr">
        <is>
          <t>בלו דיי אנרגיה (תכלת) DAY 250 מ"ל 1/24</t>
        </is>
      </c>
      <c r="D39" s="20" t="n">
        <v>203</v>
      </c>
      <c r="E39" s="21" t="n">
        <v>10079</v>
      </c>
      <c r="F39" s="20">
        <f>D39*(1+'יעדים לפי סוכן'!$B$2)</f>
        <v>253.75</v>
      </c>
      <c r="G39" s="21">
        <f>E39*(1+'יעדים לפי סוכן'!$B$2)</f>
        <v>12598.75</v>
      </c>
      <c r="H39" s="21" t="n">
        <v>4390</v>
      </c>
    </row>
    <row r="40">
      <c r="A40" s="18" t="inlineStr">
        <is>
          <t>ירין</t>
        </is>
      </c>
      <c r="B40" s="19" t="inlineStr">
        <is>
          <t>144012</t>
        </is>
      </c>
      <c r="C40" s="18" t="inlineStr">
        <is>
          <t>בלו אנרגיה מוחיטו 250 מ"ל (שחור) 1/24</t>
        </is>
      </c>
      <c r="D40" s="20" t="n">
        <v>150</v>
      </c>
      <c r="E40" s="21" t="n">
        <v>7449</v>
      </c>
      <c r="F40" s="20">
        <f>D40*(1+'יעדים לפי סוכן'!$B$2)</f>
        <v>187.5</v>
      </c>
      <c r="G40" s="21">
        <f>E40*(1+'יעדים לפי סוכן'!$B$2)</f>
        <v>9311.25</v>
      </c>
      <c r="H40" s="21" t="n">
        <v>3005</v>
      </c>
    </row>
    <row r="41">
      <c r="A41" s="18" t="inlineStr">
        <is>
          <t>ירין</t>
        </is>
      </c>
      <c r="B41" s="19" t="inlineStr">
        <is>
          <t>144016</t>
        </is>
      </c>
      <c r="C41" s="18" t="inlineStr">
        <is>
          <t>בלו אנרגיה אבטיח 1/24 250 מ"ל (ירוק) BLU -</t>
        </is>
      </c>
      <c r="D41" s="20" t="n">
        <v>62</v>
      </c>
      <c r="E41" s="21" t="n">
        <v>3044</v>
      </c>
      <c r="F41" s="20">
        <f>D41*(1+'יעדים לפי סוכן'!$B$2)</f>
        <v>77.5</v>
      </c>
      <c r="G41" s="21">
        <f>E41*(1+'יעדים לפי סוכן'!$B$2)</f>
        <v>3805</v>
      </c>
      <c r="H41" s="21" t="n">
        <v>1217</v>
      </c>
    </row>
    <row r="42">
      <c r="A42" s="18" t="inlineStr">
        <is>
          <t>ירין</t>
        </is>
      </c>
      <c r="B42" s="19" t="inlineStr">
        <is>
          <t>144020</t>
        </is>
      </c>
      <c r="C42" s="18" t="inlineStr">
        <is>
          <t>בלו אנרגיה אקזוטיק (ירוק בהיר) 250מ 1/24</t>
        </is>
      </c>
      <c r="D42" s="20" t="n">
        <v>43</v>
      </c>
      <c r="E42" s="21" t="n">
        <v>2089</v>
      </c>
      <c r="F42" s="20">
        <f>D42*(1+'יעדים לפי סוכן'!$B$2)</f>
        <v>53.75</v>
      </c>
      <c r="G42" s="21">
        <f>E42*(1+'יעדים לפי סוכן'!$B$2)</f>
        <v>2611.25</v>
      </c>
      <c r="H42" s="21" t="n">
        <v>247</v>
      </c>
    </row>
    <row r="43">
      <c r="A43" s="18" t="inlineStr">
        <is>
          <t>ירין</t>
        </is>
      </c>
      <c r="B43" s="19" t="inlineStr">
        <is>
          <t>144028</t>
        </is>
      </c>
      <c r="C43" s="18" t="inlineStr">
        <is>
          <t>בלו אנרגיה קרנברי (אדום) 250 מ"ל 1/24</t>
        </is>
      </c>
      <c r="D43" s="20" t="n">
        <v>0</v>
      </c>
      <c r="E43" s="21" t="n">
        <v>0</v>
      </c>
      <c r="F43" s="20">
        <f>D43*(1+'יעדים לפי סוכן'!$B$2)</f>
        <v>0</v>
      </c>
      <c r="G43" s="21">
        <f>E43*(1+'יעדים לפי סוכן'!$B$2)</f>
        <v>0</v>
      </c>
      <c r="H43" s="21" t="n">
        <v>94</v>
      </c>
    </row>
    <row r="44">
      <c r="A44" s="18" t="inlineStr">
        <is>
          <t>ירין</t>
        </is>
      </c>
      <c r="B44" s="19" t="inlineStr">
        <is>
          <t>144052</t>
        </is>
      </c>
      <c r="C44" s="18" t="inlineStr">
        <is>
          <t>בלו מוחיטו אנרגיה 150 מ"ל 1/24 (שחור)</t>
        </is>
      </c>
      <c r="D44" s="20" t="n">
        <v>0</v>
      </c>
      <c r="E44" s="21" t="n">
        <v>0</v>
      </c>
      <c r="F44" s="20">
        <f>D44*(1+'יעדים לפי סוכן'!$B$2)</f>
        <v>0</v>
      </c>
      <c r="G44" s="21">
        <f>E44*(1+'יעדים לפי סוכן'!$B$2)</f>
        <v>0</v>
      </c>
      <c r="H44" s="21" t="n">
        <v>509</v>
      </c>
    </row>
    <row r="45">
      <c r="A45" s="18" t="inlineStr">
        <is>
          <t>ירין</t>
        </is>
      </c>
      <c r="B45" s="19" t="inlineStr">
        <is>
          <t>144051</t>
        </is>
      </c>
      <c r="C45" s="18" t="inlineStr">
        <is>
          <t>בלו דיי אנרגיה 150 מ"ל 1/24 (תכלת)</t>
        </is>
      </c>
      <c r="D45" s="20" t="n">
        <v>0</v>
      </c>
      <c r="E45" s="21" t="n">
        <v>0</v>
      </c>
      <c r="F45" s="20">
        <f>D45*(1+'יעדים לפי סוכן'!$B$2)</f>
        <v>0</v>
      </c>
      <c r="G45" s="21">
        <f>E45*(1+'יעדים לפי סוכן'!$B$2)</f>
        <v>0</v>
      </c>
      <c r="H45" s="21" t="n">
        <v>642</v>
      </c>
    </row>
    <row r="46">
      <c r="A46" s="18" t="inlineStr">
        <is>
          <t>ירין</t>
        </is>
      </c>
      <c r="B46" s="19" t="inlineStr">
        <is>
          <t>144050</t>
        </is>
      </c>
      <c r="C46" s="18" t="inlineStr">
        <is>
          <t>בלו אנרגיה רגיל 150 מ"ל 1/24 (כחול)</t>
        </is>
      </c>
      <c r="D46" s="20" t="n">
        <v>0</v>
      </c>
      <c r="E46" s="21" t="n">
        <v>0</v>
      </c>
      <c r="F46" s="20">
        <f>D46*(1+'יעדים לפי סוכן'!$B$2)</f>
        <v>0</v>
      </c>
      <c r="G46" s="21">
        <f>E46*(1+'יעדים לפי סוכן'!$B$2)</f>
        <v>0</v>
      </c>
      <c r="H46" s="21" t="n">
        <v>705</v>
      </c>
    </row>
    <row r="47">
      <c r="A47" s="18" t="inlineStr">
        <is>
          <t>ירין</t>
        </is>
      </c>
      <c r="B47" s="19" t="inlineStr">
        <is>
          <t>144024</t>
        </is>
      </c>
      <c r="C47" s="18" t="inlineStr">
        <is>
          <t>בלו רגיל אנרגיה ללא סוכר 6 קלוריות 250 מ"ל (אדום) 1/24</t>
        </is>
      </c>
      <c r="D47" s="20" t="n">
        <v>0</v>
      </c>
      <c r="E47" s="21" t="n">
        <v>0</v>
      </c>
      <c r="F47" s="20">
        <f>D47*(1+'יעדים לפי סוכן'!$B$2)</f>
        <v>0</v>
      </c>
      <c r="G47" s="21">
        <f>E47*(1+'יעדים לפי סוכן'!$B$2)</f>
        <v>0</v>
      </c>
      <c r="H47" s="21" t="n">
        <v>277</v>
      </c>
    </row>
    <row r="48">
      <c r="A48" s="18" t="inlineStr">
        <is>
          <t>ירין</t>
        </is>
      </c>
      <c r="B48" s="19" t="inlineStr">
        <is>
          <t>144010</t>
        </is>
      </c>
      <c r="C48" s="18" t="inlineStr">
        <is>
          <t>בלו אנרגיה דיי ענבים (סגול) DAY 250 מ"ל 1/24</t>
        </is>
      </c>
      <c r="D48" s="20" t="n">
        <v>0</v>
      </c>
      <c r="E48" s="21" t="n">
        <v>0</v>
      </c>
      <c r="F48" s="20">
        <f>D48*(1+'יעדים לפי סוכן'!$B$2)</f>
        <v>0</v>
      </c>
      <c r="G48" s="21">
        <f>E48*(1+'יעדים לפי סוכן'!$B$2)</f>
        <v>0</v>
      </c>
      <c r="H48" s="21" t="n">
        <v>451</v>
      </c>
    </row>
    <row r="49">
      <c r="A49" s="18" t="inlineStr">
        <is>
          <t>ירין</t>
        </is>
      </c>
      <c r="B49" s="19" t="inlineStr">
        <is>
          <t>144005</t>
        </is>
      </c>
      <c r="C49" s="18" t="inlineStr">
        <is>
          <t>בלו מונדיאל רגיל 250 מ"ל (כחול) BLU 1/24</t>
        </is>
      </c>
      <c r="D49" s="20" t="n">
        <v>0</v>
      </c>
      <c r="E49" s="21" t="n">
        <v>0</v>
      </c>
      <c r="F49" s="20">
        <f>D49*(1+'יעדים לפי סוכן'!$B$2)</f>
        <v>0</v>
      </c>
      <c r="G49" s="21">
        <f>E49*(1+'יעדים לפי סוכן'!$B$2)</f>
        <v>0</v>
      </c>
      <c r="H49" s="21" t="n">
        <v>296</v>
      </c>
    </row>
    <row r="50">
      <c r="A50" s="18" t="inlineStr">
        <is>
          <t>יהונתן ודב</t>
        </is>
      </c>
      <c r="B50" s="19" t="inlineStr">
        <is>
          <t>144004</t>
        </is>
      </c>
      <c r="C50" s="18" t="inlineStr">
        <is>
          <t>בלו אנרגיה רגיל 250 מ"ל (כחול) BLU 1/24</t>
        </is>
      </c>
      <c r="D50" s="20" t="n">
        <v>348</v>
      </c>
      <c r="E50" s="21" t="n">
        <v>15295</v>
      </c>
      <c r="F50" s="20">
        <f>D50*(1+'יעדים לפי סוכן'!$B$2)</f>
        <v>435</v>
      </c>
      <c r="G50" s="21">
        <f>E50*(1+'יעדים לפי סוכן'!$B$2)</f>
        <v>19118.75</v>
      </c>
      <c r="H50" s="21" t="n">
        <v>1522</v>
      </c>
    </row>
    <row r="51">
      <c r="A51" s="18" t="inlineStr">
        <is>
          <t>יהונתן ודב</t>
        </is>
      </c>
      <c r="B51" s="19" t="inlineStr">
        <is>
          <t>144008</t>
        </is>
      </c>
      <c r="C51" s="18" t="inlineStr">
        <is>
          <t>בלו דיי אנרגיה (תכלת) DAY 250 מ"ל 1/24</t>
        </is>
      </c>
      <c r="D51" s="20" t="n">
        <v>221</v>
      </c>
      <c r="E51" s="21" t="n">
        <v>10453</v>
      </c>
      <c r="F51" s="20">
        <f>D51*(1+'יעדים לפי סוכן'!$B$2)</f>
        <v>276.25</v>
      </c>
      <c r="G51" s="21">
        <f>E51*(1+'יעדים לפי סוכן'!$B$2)</f>
        <v>13066.25</v>
      </c>
      <c r="H51" s="21" t="n">
        <v>1866</v>
      </c>
    </row>
    <row r="52">
      <c r="A52" s="18" t="inlineStr">
        <is>
          <t>יהונתן ודב</t>
        </is>
      </c>
      <c r="B52" s="19" t="inlineStr">
        <is>
          <t>144012</t>
        </is>
      </c>
      <c r="C52" s="18" t="inlineStr">
        <is>
          <t>בלו אנרגיה מוחיטו 250 מ"ל (שחור) 1/24</t>
        </is>
      </c>
      <c r="D52" s="20" t="n">
        <v>198</v>
      </c>
      <c r="E52" s="21" t="n">
        <v>9367</v>
      </c>
      <c r="F52" s="20">
        <f>D52*(1+'יעדים לפי סוכן'!$B$2)</f>
        <v>247.5</v>
      </c>
      <c r="G52" s="21">
        <f>E52*(1+'יעדים לפי סוכן'!$B$2)</f>
        <v>11708.75</v>
      </c>
      <c r="H52" s="21" t="n">
        <v>1138</v>
      </c>
    </row>
    <row r="53">
      <c r="A53" s="18" t="inlineStr">
        <is>
          <t>יהונתן ודב</t>
        </is>
      </c>
      <c r="B53" s="19" t="inlineStr">
        <is>
          <t>144016</t>
        </is>
      </c>
      <c r="C53" s="18" t="inlineStr">
        <is>
          <t>בלו אנרגיה אבטיח 1/24 250 מ"ל (ירוק) BLU -</t>
        </is>
      </c>
      <c r="D53" s="20" t="n">
        <v>3</v>
      </c>
      <c r="E53" s="21" t="n">
        <v>146</v>
      </c>
      <c r="F53" s="20">
        <f>D53*(1+'יעדים לפי סוכן'!$B$2)</f>
        <v>3.75</v>
      </c>
      <c r="G53" s="21">
        <f>E53*(1+'יעדים לפי סוכן'!$B$2)</f>
        <v>182.5</v>
      </c>
      <c r="H53" s="21" t="n">
        <v>0</v>
      </c>
    </row>
    <row r="54">
      <c r="A54" s="18" t="inlineStr">
        <is>
          <t>יהונתן ודב</t>
        </is>
      </c>
      <c r="B54" s="19" t="inlineStr">
        <is>
          <t>144020</t>
        </is>
      </c>
      <c r="C54" s="18" t="inlineStr">
        <is>
          <t>בלו אנרגיה אקזוטיק (ירוק בהיר) 250מ 1/24</t>
        </is>
      </c>
      <c r="D54" s="20" t="n">
        <v>3</v>
      </c>
      <c r="E54" s="21" t="n">
        <v>146</v>
      </c>
      <c r="F54" s="20">
        <f>D54*(1+'יעדים לפי סוכן'!$B$2)</f>
        <v>3.75</v>
      </c>
      <c r="G54" s="21">
        <f>E54*(1+'יעדים לפי סוכן'!$B$2)</f>
        <v>182.5</v>
      </c>
      <c r="H54" s="21" t="n">
        <v>0</v>
      </c>
    </row>
    <row r="55">
      <c r="A55" s="18" t="inlineStr">
        <is>
          <t>אלרואי</t>
        </is>
      </c>
      <c r="B55" s="19" t="inlineStr">
        <is>
          <t>144008</t>
        </is>
      </c>
      <c r="C55" s="18" t="inlineStr">
        <is>
          <t>בלו דיי אנרגיה (תכלת) DAY 250 מ"ל 1/24</t>
        </is>
      </c>
      <c r="D55" s="20" t="n">
        <v>265</v>
      </c>
      <c r="E55" s="21" t="n">
        <v>13311</v>
      </c>
      <c r="F55" s="20">
        <f>D55*(1+'יעדים לפי סוכן'!$B$2)</f>
        <v>331.25</v>
      </c>
      <c r="G55" s="21">
        <f>E55*(1+'יעדים לפי סוכן'!$B$2)</f>
        <v>16638.75</v>
      </c>
      <c r="H55" s="21" t="n">
        <v>5652</v>
      </c>
    </row>
    <row r="56">
      <c r="A56" s="18" t="inlineStr">
        <is>
          <t>אלרואי</t>
        </is>
      </c>
      <c r="B56" s="19" t="inlineStr">
        <is>
          <t>144004</t>
        </is>
      </c>
      <c r="C56" s="18" t="inlineStr">
        <is>
          <t>בלו אנרגיה רגיל 250 מ"ל (כחול) BLU 1/24</t>
        </is>
      </c>
      <c r="D56" s="20" t="n">
        <v>124</v>
      </c>
      <c r="E56" s="21" t="n">
        <v>5934</v>
      </c>
      <c r="F56" s="20">
        <f>D56*(1+'יעדים לפי סוכן'!$B$2)</f>
        <v>155</v>
      </c>
      <c r="G56" s="21">
        <f>E56*(1+'יעדים לפי סוכן'!$B$2)</f>
        <v>7417.5</v>
      </c>
      <c r="H56" s="21" t="n">
        <v>2340</v>
      </c>
    </row>
    <row r="57">
      <c r="A57" s="18" t="inlineStr">
        <is>
          <t>אלרואי</t>
        </is>
      </c>
      <c r="B57" s="19" t="inlineStr">
        <is>
          <t>144020</t>
        </is>
      </c>
      <c r="C57" s="18" t="inlineStr">
        <is>
          <t>בלו אנרגיה אקזוטיק (ירוק בהיר) 250מ 1/24</t>
        </is>
      </c>
      <c r="D57" s="20" t="n">
        <v>52</v>
      </c>
      <c r="E57" s="21" t="n">
        <v>2637</v>
      </c>
      <c r="F57" s="20">
        <f>D57*(1+'יעדים לפי סוכן'!$B$2)</f>
        <v>65</v>
      </c>
      <c r="G57" s="21">
        <f>E57*(1+'יעדים לפי סוכן'!$B$2)</f>
        <v>3296.25</v>
      </c>
      <c r="H57" s="21" t="n">
        <v>1062</v>
      </c>
    </row>
    <row r="58">
      <c r="A58" s="18" t="inlineStr">
        <is>
          <t>אלרואי</t>
        </is>
      </c>
      <c r="B58" s="19" t="inlineStr">
        <is>
          <t>144016</t>
        </is>
      </c>
      <c r="C58" s="18" t="inlineStr">
        <is>
          <t>בלו אנרגיה אבטיח 1/24 250 מ"ל (ירוק) BLU -</t>
        </is>
      </c>
      <c r="D58" s="20" t="n">
        <v>52</v>
      </c>
      <c r="E58" s="21" t="n">
        <v>2617</v>
      </c>
      <c r="F58" s="20">
        <f>D58*(1+'יעדים לפי סוכן'!$B$2)</f>
        <v>65</v>
      </c>
      <c r="G58" s="21">
        <f>E58*(1+'יעדים לפי סוכן'!$B$2)</f>
        <v>3271.25</v>
      </c>
      <c r="H58" s="21" t="n">
        <v>1361</v>
      </c>
    </row>
    <row r="59">
      <c r="A59" s="18" t="inlineStr">
        <is>
          <t>אלרואי</t>
        </is>
      </c>
      <c r="B59" s="19" t="inlineStr">
        <is>
          <t>144012</t>
        </is>
      </c>
      <c r="C59" s="18" t="inlineStr">
        <is>
          <t>בלו אנרגיה מוחיטו 250 מ"ל (שחור) 1/24</t>
        </is>
      </c>
      <c r="D59" s="20" t="n">
        <v>49</v>
      </c>
      <c r="E59" s="21" t="n">
        <v>2467</v>
      </c>
      <c r="F59" s="20">
        <f>D59*(1+'יעדים לפי סוכן'!$B$2)</f>
        <v>61.25</v>
      </c>
      <c r="G59" s="21">
        <f>E59*(1+'יעדים לפי סוכן'!$B$2)</f>
        <v>3083.75</v>
      </c>
      <c r="H59" s="21" t="n">
        <v>1463</v>
      </c>
    </row>
    <row r="60">
      <c r="A60" s="18" t="inlineStr">
        <is>
          <t>אלרואי</t>
        </is>
      </c>
      <c r="B60" s="19" t="inlineStr">
        <is>
          <t>144028</t>
        </is>
      </c>
      <c r="C60" s="18" t="inlineStr">
        <is>
          <t>בלו אנרגיה קרנברי (אדום) 250 מ"ל 1/24</t>
        </is>
      </c>
      <c r="D60" s="20" t="n">
        <v>0</v>
      </c>
      <c r="E60" s="21" t="n">
        <v>0</v>
      </c>
      <c r="F60" s="20">
        <f>D60*(1+'יעדים לפי סוכן'!$B$2)</f>
        <v>0</v>
      </c>
      <c r="G60" s="21">
        <f>E60*(1+'יעדים לפי סוכן'!$B$2)</f>
        <v>0</v>
      </c>
      <c r="H60" s="21" t="n">
        <v>351</v>
      </c>
    </row>
    <row r="61">
      <c r="A61" s="18" t="inlineStr">
        <is>
          <t>אלרואי</t>
        </is>
      </c>
      <c r="B61" s="19" t="inlineStr">
        <is>
          <t>144050</t>
        </is>
      </c>
      <c r="C61" s="18" t="inlineStr">
        <is>
          <t>בלו אנרגיה רגיל 150 מ"ל 1/24 (כחול)</t>
        </is>
      </c>
      <c r="D61" s="20" t="n">
        <v>0</v>
      </c>
      <c r="E61" s="21" t="n">
        <v>0</v>
      </c>
      <c r="F61" s="20">
        <f>D61*(1+'יעדים לפי סוכן'!$B$2)</f>
        <v>0</v>
      </c>
      <c r="G61" s="21">
        <f>E61*(1+'יעדים לפי סוכן'!$B$2)</f>
        <v>0</v>
      </c>
      <c r="H61" s="21" t="n">
        <v>491</v>
      </c>
    </row>
    <row r="62">
      <c r="A62" s="18" t="inlineStr">
        <is>
          <t>אלרואי</t>
        </is>
      </c>
      <c r="B62" s="19" t="inlineStr">
        <is>
          <t>144052</t>
        </is>
      </c>
      <c r="C62" s="18" t="inlineStr">
        <is>
          <t>בלו מוחיטו אנרגיה 150 מ"ל 1/24 (שחור)</t>
        </is>
      </c>
      <c r="D62" s="20" t="n">
        <v>0</v>
      </c>
      <c r="E62" s="21" t="n">
        <v>0</v>
      </c>
      <c r="F62" s="20">
        <f>D62*(1+'יעדים לפי סוכן'!$B$2)</f>
        <v>0</v>
      </c>
      <c r="G62" s="21">
        <f>E62*(1+'יעדים לפי סוכן'!$B$2)</f>
        <v>0</v>
      </c>
      <c r="H62" s="21" t="n">
        <v>302</v>
      </c>
    </row>
    <row r="63">
      <c r="A63" s="18" t="inlineStr">
        <is>
          <t>אלרואי</t>
        </is>
      </c>
      <c r="B63" s="19" t="inlineStr">
        <is>
          <t>144051</t>
        </is>
      </c>
      <c r="C63" s="18" t="inlineStr">
        <is>
          <t>בלו דיי אנרגיה 150 מ"ל 1/24 (תכלת)</t>
        </is>
      </c>
      <c r="D63" s="20" t="n">
        <v>0</v>
      </c>
      <c r="E63" s="21" t="n">
        <v>0</v>
      </c>
      <c r="F63" s="20">
        <f>D63*(1+'יעדים לפי סוכן'!$B$2)</f>
        <v>0</v>
      </c>
      <c r="G63" s="21">
        <f>E63*(1+'יעדים לפי סוכן'!$B$2)</f>
        <v>0</v>
      </c>
      <c r="H63" s="21" t="n">
        <v>517</v>
      </c>
    </row>
    <row r="64">
      <c r="A64" s="18" t="inlineStr">
        <is>
          <t>אלרואי</t>
        </is>
      </c>
      <c r="B64" s="19" t="inlineStr">
        <is>
          <t>144010</t>
        </is>
      </c>
      <c r="C64" s="18" t="inlineStr">
        <is>
          <t>בלו אנרגיה דיי ענבים (סגול) DAY 250 מ"ל 1/24</t>
        </is>
      </c>
      <c r="D64" s="20" t="n">
        <v>0</v>
      </c>
      <c r="E64" s="21" t="n">
        <v>0</v>
      </c>
      <c r="F64" s="20">
        <f>D64*(1+'יעדים לפי סוכן'!$B$2)</f>
        <v>0</v>
      </c>
      <c r="G64" s="21">
        <f>E64*(1+'יעדים לפי סוכן'!$B$2)</f>
        <v>0</v>
      </c>
      <c r="H64" s="21" t="n">
        <v>453</v>
      </c>
    </row>
    <row r="65">
      <c r="A65" s="18" t="inlineStr">
        <is>
          <t>אלרואי</t>
        </is>
      </c>
      <c r="B65" s="19" t="inlineStr">
        <is>
          <t>144024</t>
        </is>
      </c>
      <c r="C65" s="18" t="inlineStr">
        <is>
          <t>בלו רגיל אנרגיה ללא סוכר 6 קלוריות 250 מ"ל (אדום) 1/24</t>
        </is>
      </c>
      <c r="D65" s="20" t="n">
        <v>0</v>
      </c>
      <c r="E65" s="21" t="n">
        <v>0</v>
      </c>
      <c r="F65" s="20">
        <f>D65*(1+'יעדים לפי סוכן'!$B$2)</f>
        <v>0</v>
      </c>
      <c r="G65" s="21">
        <f>E65*(1+'יעדים לפי סוכן'!$B$2)</f>
        <v>0</v>
      </c>
      <c r="H65" s="21" t="n">
        <v>349</v>
      </c>
    </row>
    <row r="66">
      <c r="A66" s="18" t="inlineStr">
        <is>
          <t>אוראל</t>
        </is>
      </c>
      <c r="B66" s="19" t="inlineStr">
        <is>
          <t>144008</t>
        </is>
      </c>
      <c r="C66" s="18" t="inlineStr">
        <is>
          <t>בלו דיי אנרגיה (תכלת) DAY 250 מ"ל 1/24</t>
        </is>
      </c>
      <c r="D66" s="20" t="n">
        <v>197</v>
      </c>
      <c r="E66" s="21" t="n">
        <v>9686</v>
      </c>
      <c r="F66" s="20">
        <f>D66*(1+'יעדים לפי סוכן'!$B$2)</f>
        <v>246.25</v>
      </c>
      <c r="G66" s="21">
        <f>E66*(1+'יעדים לפי סוכן'!$B$2)</f>
        <v>12107.5</v>
      </c>
      <c r="H66" s="21" t="n">
        <v>7313</v>
      </c>
    </row>
    <row r="67">
      <c r="A67" s="18" t="inlineStr">
        <is>
          <t>אוראל</t>
        </is>
      </c>
      <c r="B67" s="19" t="inlineStr">
        <is>
          <t>144004</t>
        </is>
      </c>
      <c r="C67" s="18" t="inlineStr">
        <is>
          <t>בלו אנרגיה רגיל 250 מ"ל (כחול) BLU 1/24</t>
        </is>
      </c>
      <c r="D67" s="20" t="n">
        <v>161</v>
      </c>
      <c r="E67" s="21" t="n">
        <v>7463</v>
      </c>
      <c r="F67" s="20">
        <f>D67*(1+'יעדים לפי סוכן'!$B$2)</f>
        <v>201.25</v>
      </c>
      <c r="G67" s="21">
        <f>E67*(1+'יעדים לפי סוכן'!$B$2)</f>
        <v>9328.75</v>
      </c>
      <c r="H67" s="21" t="n">
        <v>3155</v>
      </c>
    </row>
    <row r="68">
      <c r="A68" s="18" t="inlineStr">
        <is>
          <t>אוראל</t>
        </is>
      </c>
      <c r="B68" s="19" t="inlineStr">
        <is>
          <t>144012</t>
        </is>
      </c>
      <c r="C68" s="18" t="inlineStr">
        <is>
          <t>בלו אנרגיה מוחיטו 250 מ"ל (שחור) 1/24</t>
        </is>
      </c>
      <c r="D68" s="20" t="n">
        <v>104</v>
      </c>
      <c r="E68" s="21" t="n">
        <v>5147</v>
      </c>
      <c r="F68" s="20">
        <f>D68*(1+'יעדים לפי סוכן'!$B$2)</f>
        <v>130</v>
      </c>
      <c r="G68" s="21">
        <f>E68*(1+'יעדים לפי סוכן'!$B$2)</f>
        <v>6433.75</v>
      </c>
      <c r="H68" s="21" t="n">
        <v>4221</v>
      </c>
    </row>
    <row r="69">
      <c r="A69" s="18" t="inlineStr">
        <is>
          <t>אוראל</t>
        </is>
      </c>
      <c r="B69" s="19" t="inlineStr">
        <is>
          <t>144016</t>
        </is>
      </c>
      <c r="C69" s="18" t="inlineStr">
        <is>
          <t>בלו אנרגיה אבטיח 1/24 250 מ"ל (ירוק) BLU -</t>
        </is>
      </c>
      <c r="D69" s="20" t="n">
        <v>56</v>
      </c>
      <c r="E69" s="21" t="n">
        <v>2726</v>
      </c>
      <c r="F69" s="20">
        <f>D69*(1+'יעדים לפי סוכן'!$B$2)</f>
        <v>70</v>
      </c>
      <c r="G69" s="21">
        <f>E69*(1+'יעדים לפי סוכן'!$B$2)</f>
        <v>3407.5</v>
      </c>
      <c r="H69" s="21" t="n">
        <v>1955</v>
      </c>
    </row>
    <row r="70">
      <c r="A70" s="18" t="inlineStr">
        <is>
          <t>אוראל</t>
        </is>
      </c>
      <c r="B70" s="19" t="inlineStr">
        <is>
          <t>144020</t>
        </is>
      </c>
      <c r="C70" s="18" t="inlineStr">
        <is>
          <t>בלו אנרגיה אקזוטיק (ירוק בהיר) 250מ 1/24</t>
        </is>
      </c>
      <c r="D70" s="20" t="n">
        <v>28</v>
      </c>
      <c r="E70" s="21" t="n">
        <v>1334</v>
      </c>
      <c r="F70" s="20">
        <f>D70*(1+'יעדים לפי סוכן'!$B$2)</f>
        <v>35</v>
      </c>
      <c r="G70" s="21">
        <f>E70*(1+'יעדים לפי סוכן'!$B$2)</f>
        <v>1667.5</v>
      </c>
      <c r="H70" s="21" t="n">
        <v>1035</v>
      </c>
    </row>
    <row r="71">
      <c r="A71" s="18" t="inlineStr">
        <is>
          <t>אוראל</t>
        </is>
      </c>
      <c r="B71" s="19" t="inlineStr">
        <is>
          <t>144028</t>
        </is>
      </c>
      <c r="C71" s="18" t="inlineStr">
        <is>
          <t>בלו אנרגיה קרנברי (אדום) 250 מ"ל 1/24</t>
        </is>
      </c>
      <c r="D71" s="20" t="n">
        <v>0</v>
      </c>
      <c r="E71" s="21" t="n">
        <v>0</v>
      </c>
      <c r="F71" s="20">
        <f>D71*(1+'יעדים לפי סוכן'!$B$2)</f>
        <v>0</v>
      </c>
      <c r="G71" s="21">
        <f>E71*(1+'יעדים לפי סוכן'!$B$2)</f>
        <v>0</v>
      </c>
      <c r="H71" s="21" t="n">
        <v>197</v>
      </c>
    </row>
    <row r="72">
      <c r="A72" s="18" t="inlineStr">
        <is>
          <t>אוראל</t>
        </is>
      </c>
      <c r="B72" s="19" t="inlineStr">
        <is>
          <t>144005</t>
        </is>
      </c>
      <c r="C72" s="18" t="inlineStr">
        <is>
          <t>בלו מונדיאל רגיל 250 מ"ל (כחול) BLU 1/24</t>
        </is>
      </c>
      <c r="D72" s="20" t="n">
        <v>0</v>
      </c>
      <c r="E72" s="21" t="n">
        <v>0</v>
      </c>
      <c r="F72" s="20">
        <f>D72*(1+'יעדים לפי סוכן'!$B$2)</f>
        <v>0</v>
      </c>
      <c r="G72" s="21">
        <f>E72*(1+'יעדים לפי סוכן'!$B$2)</f>
        <v>0</v>
      </c>
      <c r="H72" s="21" t="n">
        <v>1640</v>
      </c>
    </row>
    <row r="73">
      <c r="A73" s="18" t="inlineStr">
        <is>
          <t>אוראל</t>
        </is>
      </c>
      <c r="B73" s="19" t="inlineStr">
        <is>
          <t>144024</t>
        </is>
      </c>
      <c r="C73" s="18" t="inlineStr">
        <is>
          <t>בלו רגיל אנרגיה ללא סוכר 6 קלוריות 250 מ"ל (אדום) 1/24</t>
        </is>
      </c>
      <c r="D73" s="20" t="n">
        <v>0</v>
      </c>
      <c r="E73" s="21" t="n">
        <v>0</v>
      </c>
      <c r="F73" s="20">
        <f>D73*(1+'יעדים לפי סוכן'!$B$2)</f>
        <v>0</v>
      </c>
      <c r="G73" s="21">
        <f>E73*(1+'יעדים לפי סוכן'!$B$2)</f>
        <v>0</v>
      </c>
      <c r="H73" s="21" t="n">
        <v>98</v>
      </c>
    </row>
    <row r="74">
      <c r="A74" s="18" t="inlineStr">
        <is>
          <t>אוראל</t>
        </is>
      </c>
      <c r="B74" s="19" t="inlineStr">
        <is>
          <t>144010</t>
        </is>
      </c>
      <c r="C74" s="18" t="inlineStr">
        <is>
          <t>בלו אנרגיה דיי ענבים (סגול) DAY 250 מ"ל 1/24</t>
        </is>
      </c>
      <c r="D74" s="20" t="n">
        <v>0</v>
      </c>
      <c r="E74" s="21" t="n">
        <v>0</v>
      </c>
      <c r="F74" s="20">
        <f>D74*(1+'יעדים לפי סוכן'!$B$2)</f>
        <v>0</v>
      </c>
      <c r="G74" s="21">
        <f>E74*(1+'יעדים לפי סוכן'!$B$2)</f>
        <v>0</v>
      </c>
      <c r="H74" s="21" t="n">
        <v>394</v>
      </c>
    </row>
    <row r="75">
      <c r="A75" s="18" t="inlineStr">
        <is>
          <t>אוראל</t>
        </is>
      </c>
      <c r="B75" s="19" t="inlineStr">
        <is>
          <t>144051</t>
        </is>
      </c>
      <c r="C75" s="18" t="inlineStr">
        <is>
          <t>בלו דיי אנרגיה 150 מ"ל 1/24 (תכלת)</t>
        </is>
      </c>
      <c r="D75" s="20" t="n">
        <v>0</v>
      </c>
      <c r="E75" s="21" t="n">
        <v>0</v>
      </c>
      <c r="F75" s="20">
        <f>D75*(1+'יעדים לפי סוכן'!$B$2)</f>
        <v>0</v>
      </c>
      <c r="G75" s="21">
        <f>E75*(1+'יעדים לפי סוכן'!$B$2)</f>
        <v>0</v>
      </c>
      <c r="H75" s="21" t="n">
        <v>86</v>
      </c>
    </row>
    <row r="76">
      <c r="A76" s="18" t="inlineStr">
        <is>
          <t>אוראל</t>
        </is>
      </c>
      <c r="B76" s="19" t="inlineStr">
        <is>
          <t>144050</t>
        </is>
      </c>
      <c r="C76" s="18" t="inlineStr">
        <is>
          <t>בלו אנרגיה רגיל 150 מ"ל 1/24 (כחול)</t>
        </is>
      </c>
      <c r="D76" s="20" t="n">
        <v>0</v>
      </c>
      <c r="E76" s="21" t="n">
        <v>0</v>
      </c>
      <c r="F76" s="20">
        <f>D76*(1+'יעדים לפי סוכן'!$B$2)</f>
        <v>0</v>
      </c>
      <c r="G76" s="21">
        <f>E76*(1+'יעדים לפי סוכן'!$B$2)</f>
        <v>0</v>
      </c>
      <c r="H76" s="21" t="n">
        <v>38</v>
      </c>
    </row>
    <row r="77">
      <c r="A77" s="18" t="inlineStr">
        <is>
          <t>אוראל</t>
        </is>
      </c>
      <c r="B77" s="19" t="inlineStr">
        <is>
          <t>144052</t>
        </is>
      </c>
      <c r="C77" s="18" t="inlineStr">
        <is>
          <t>בלו מוחיטו אנרגיה 150 מ"ל 1/24 (שחור)</t>
        </is>
      </c>
      <c r="D77" s="20" t="n">
        <v>0</v>
      </c>
      <c r="E77" s="21" t="n">
        <v>0</v>
      </c>
      <c r="F77" s="20">
        <f>D77*(1+'יעדים לפי סוכן'!$B$2)</f>
        <v>0</v>
      </c>
      <c r="G77" s="21">
        <f>E77*(1+'יעדים לפי סוכן'!$B$2)</f>
        <v>0</v>
      </c>
      <c r="H77" s="21" t="n">
        <v>43</v>
      </c>
    </row>
    <row r="78">
      <c r="A78" s="18" t="inlineStr">
        <is>
          <t>אייל</t>
        </is>
      </c>
      <c r="B78" s="19" t="inlineStr">
        <is>
          <t>144008</t>
        </is>
      </c>
      <c r="C78" s="18" t="inlineStr">
        <is>
          <t>בלו דיי אנרגיה (תכלת) DAY 250 מ"ל 1/24</t>
        </is>
      </c>
      <c r="D78" s="20" t="n">
        <v>179</v>
      </c>
      <c r="E78" s="21" t="n">
        <v>9200</v>
      </c>
      <c r="F78" s="20">
        <f>D78*(1+'יעדים לפי סוכן'!$B$2)</f>
        <v>223.75</v>
      </c>
      <c r="G78" s="21">
        <f>E78*(1+'יעדים לפי סוכן'!$B$2)</f>
        <v>11500</v>
      </c>
      <c r="H78" s="21" t="n">
        <v>5482</v>
      </c>
    </row>
    <row r="79">
      <c r="A79" s="18" t="inlineStr">
        <is>
          <t>אייל</t>
        </is>
      </c>
      <c r="B79" s="19" t="inlineStr">
        <is>
          <t>144012</t>
        </is>
      </c>
      <c r="C79" s="18" t="inlineStr">
        <is>
          <t>בלו אנרגיה מוחיטו 250 מ"ל (שחור) 1/24</t>
        </is>
      </c>
      <c r="D79" s="20" t="n">
        <v>130</v>
      </c>
      <c r="E79" s="21" t="n">
        <v>6680</v>
      </c>
      <c r="F79" s="20">
        <f>D79*(1+'יעדים לפי סוכן'!$B$2)</f>
        <v>162.5</v>
      </c>
      <c r="G79" s="21">
        <f>E79*(1+'יעדים לפי סוכן'!$B$2)</f>
        <v>8350</v>
      </c>
      <c r="H79" s="21" t="n">
        <v>4377</v>
      </c>
    </row>
    <row r="80">
      <c r="A80" s="18" t="inlineStr">
        <is>
          <t>אייל</t>
        </is>
      </c>
      <c r="B80" s="19" t="inlineStr">
        <is>
          <t>144004</t>
        </is>
      </c>
      <c r="C80" s="18" t="inlineStr">
        <is>
          <t>בלו אנרגיה רגיל 250 מ"ל (כחול) BLU 1/24</t>
        </is>
      </c>
      <c r="D80" s="20" t="n">
        <v>132</v>
      </c>
      <c r="E80" s="21" t="n">
        <v>6314</v>
      </c>
      <c r="F80" s="20">
        <f>D80*(1+'יעדים לפי סוכן'!$B$2)</f>
        <v>165</v>
      </c>
      <c r="G80" s="21">
        <f>E80*(1+'יעדים לפי סוכן'!$B$2)</f>
        <v>7892.5</v>
      </c>
      <c r="H80" s="21" t="n">
        <v>3314</v>
      </c>
    </row>
    <row r="81">
      <c r="A81" s="18" t="inlineStr">
        <is>
          <t>אייל</t>
        </is>
      </c>
      <c r="B81" s="19" t="inlineStr">
        <is>
          <t>144016</t>
        </is>
      </c>
      <c r="C81" s="18" t="inlineStr">
        <is>
          <t>בלו אנרגיה אבטיח 1/24 250 מ"ל (ירוק) BLU -</t>
        </is>
      </c>
      <c r="D81" s="20" t="n">
        <v>45</v>
      </c>
      <c r="E81" s="21" t="n">
        <v>2310</v>
      </c>
      <c r="F81" s="20">
        <f>D81*(1+'יעדים לפי סוכן'!$B$2)</f>
        <v>56.25</v>
      </c>
      <c r="G81" s="21">
        <f>E81*(1+'יעדים לפי סוכן'!$B$2)</f>
        <v>2887.5</v>
      </c>
      <c r="H81" s="21" t="n">
        <v>1281</v>
      </c>
    </row>
    <row r="82">
      <c r="A82" s="18" t="inlineStr">
        <is>
          <t>אייל</t>
        </is>
      </c>
      <c r="B82" s="19" t="inlineStr">
        <is>
          <t>144020</t>
        </is>
      </c>
      <c r="C82" s="18" t="inlineStr">
        <is>
          <t>בלו אנרגיה אקזוטיק (ירוק בהיר) 250מ 1/24</t>
        </is>
      </c>
      <c r="D82" s="20" t="n">
        <v>20</v>
      </c>
      <c r="E82" s="21" t="n">
        <v>1021</v>
      </c>
      <c r="F82" s="20">
        <f>D82*(1+'יעדים לפי סוכן'!$B$2)</f>
        <v>25</v>
      </c>
      <c r="G82" s="21">
        <f>E82*(1+'יעדים לפי סוכן'!$B$2)</f>
        <v>1276.25</v>
      </c>
      <c r="H82" s="21" t="n">
        <v>153</v>
      </c>
    </row>
    <row r="83">
      <c r="A83" s="18" t="inlineStr">
        <is>
          <t>אייל</t>
        </is>
      </c>
      <c r="B83" s="19" t="inlineStr">
        <is>
          <t>144010</t>
        </is>
      </c>
      <c r="C83" s="18" t="inlineStr">
        <is>
          <t>בלו אנרגיה דיי ענבים (סגול) DAY 250 מ"ל 1/24</t>
        </is>
      </c>
      <c r="D83" s="20" t="n">
        <v>0</v>
      </c>
      <c r="E83" s="21" t="n">
        <v>0</v>
      </c>
      <c r="F83" s="20">
        <f>D83*(1+'יעדים לפי סוכן'!$B$2)</f>
        <v>0</v>
      </c>
      <c r="G83" s="21">
        <f>E83*(1+'יעדים לפי סוכן'!$B$2)</f>
        <v>0</v>
      </c>
      <c r="H83" s="21" t="n">
        <v>613</v>
      </c>
    </row>
    <row r="84">
      <c r="A84" s="18" t="inlineStr">
        <is>
          <t>אייל</t>
        </is>
      </c>
      <c r="B84" s="19" t="inlineStr">
        <is>
          <t>144024</t>
        </is>
      </c>
      <c r="C84" s="18" t="inlineStr">
        <is>
          <t>בלו רגיל אנרגיה ללא סוכר 6 קלוריות 250 מ"ל (אדום) 1/24</t>
        </is>
      </c>
      <c r="D84" s="20" t="n">
        <v>0</v>
      </c>
      <c r="E84" s="21" t="n">
        <v>0</v>
      </c>
      <c r="F84" s="20">
        <f>D84*(1+'יעדים לפי סוכן'!$B$2)</f>
        <v>0</v>
      </c>
      <c r="G84" s="21">
        <f>E84*(1+'יעדים לפי סוכן'!$B$2)</f>
        <v>0</v>
      </c>
      <c r="H84" s="21" t="n">
        <v>442</v>
      </c>
    </row>
    <row r="85">
      <c r="A85" s="18" t="inlineStr">
        <is>
          <t>אייל</t>
        </is>
      </c>
      <c r="B85" s="19" t="inlineStr">
        <is>
          <t>144005</t>
        </is>
      </c>
      <c r="C85" s="18" t="inlineStr">
        <is>
          <t>בלו מונדיאל רגיל 250 מ"ל (כחול) BLU 1/24</t>
        </is>
      </c>
      <c r="D85" s="20" t="n">
        <v>0</v>
      </c>
      <c r="E85" s="21" t="n">
        <v>0</v>
      </c>
      <c r="F85" s="20">
        <f>D85*(1+'יעדים לפי סוכן'!$B$2)</f>
        <v>0</v>
      </c>
      <c r="G85" s="21">
        <f>E85*(1+'יעדים לפי סוכן'!$B$2)</f>
        <v>0</v>
      </c>
      <c r="H85" s="21" t="n">
        <v>227</v>
      </c>
    </row>
    <row r="86">
      <c r="A86" s="18" t="inlineStr">
        <is>
          <t>אייל</t>
        </is>
      </c>
      <c r="B86" s="19" t="inlineStr">
        <is>
          <t>144028</t>
        </is>
      </c>
      <c r="C86" s="18" t="inlineStr">
        <is>
          <t>בלו אנרגיה קרנברי (אדום) 250 מ"ל 1/24</t>
        </is>
      </c>
      <c r="D86" s="20" t="n">
        <v>0</v>
      </c>
      <c r="E86" s="21" t="n">
        <v>0</v>
      </c>
      <c r="F86" s="20">
        <f>D86*(1+'יעדים לפי סוכן'!$B$2)</f>
        <v>0</v>
      </c>
      <c r="G86" s="21">
        <f>E86*(1+'יעדים לפי סוכן'!$B$2)</f>
        <v>0</v>
      </c>
      <c r="H86" s="21" t="n">
        <v>205</v>
      </c>
    </row>
    <row r="87">
      <c r="A87" s="18" t="inlineStr">
        <is>
          <t>רמי</t>
        </is>
      </c>
      <c r="B87" s="19" t="inlineStr">
        <is>
          <t>144004</t>
        </is>
      </c>
      <c r="C87" s="18" t="inlineStr">
        <is>
          <t>בלו אנרגיה רגיל 250 מ"ל (כחול) BLU 1/24</t>
        </is>
      </c>
      <c r="D87" s="20" t="n">
        <v>188</v>
      </c>
      <c r="E87" s="21" t="n">
        <v>8502</v>
      </c>
      <c r="F87" s="20">
        <f>D87*(1+'יעדים לפי סוכן'!$B$2)</f>
        <v>235</v>
      </c>
      <c r="G87" s="21">
        <f>E87*(1+'יעדים לפי סוכן'!$B$2)</f>
        <v>10627.5</v>
      </c>
      <c r="H87" s="21" t="n">
        <v>2211</v>
      </c>
    </row>
    <row r="88">
      <c r="A88" s="18" t="inlineStr">
        <is>
          <t>רמי</t>
        </is>
      </c>
      <c r="B88" s="19" t="inlineStr">
        <is>
          <t>144008</t>
        </is>
      </c>
      <c r="C88" s="18" t="inlineStr">
        <is>
          <t>בלו דיי אנרגיה (תכלת) DAY 250 מ"ל 1/24</t>
        </is>
      </c>
      <c r="D88" s="20" t="n">
        <v>132</v>
      </c>
      <c r="E88" s="21" t="n">
        <v>6373</v>
      </c>
      <c r="F88" s="20">
        <f>D88*(1+'יעדים לפי סוכן'!$B$2)</f>
        <v>165</v>
      </c>
      <c r="G88" s="21">
        <f>E88*(1+'יעדים לפי סוכן'!$B$2)</f>
        <v>7966.25</v>
      </c>
      <c r="H88" s="21" t="n">
        <v>4319</v>
      </c>
    </row>
    <row r="89">
      <c r="A89" s="18" t="inlineStr">
        <is>
          <t>רמי</t>
        </is>
      </c>
      <c r="B89" s="19" t="inlineStr">
        <is>
          <t>144012</t>
        </is>
      </c>
      <c r="C89" s="18" t="inlineStr">
        <is>
          <t>בלו אנרגיה מוחיטו 250 מ"ל (שחור) 1/24</t>
        </is>
      </c>
      <c r="D89" s="20" t="n">
        <v>95</v>
      </c>
      <c r="E89" s="21" t="n">
        <v>4565</v>
      </c>
      <c r="F89" s="20">
        <f>D89*(1+'יעדים לפי סוכן'!$B$2)</f>
        <v>118.75</v>
      </c>
      <c r="G89" s="21">
        <f>E89*(1+'יעדים לפי סוכן'!$B$2)</f>
        <v>5706.25</v>
      </c>
      <c r="H89" s="21" t="n">
        <v>3122</v>
      </c>
    </row>
    <row r="90">
      <c r="A90" s="18" t="inlineStr">
        <is>
          <t>רמי</t>
        </is>
      </c>
      <c r="B90" s="19" t="inlineStr">
        <is>
          <t>144016</t>
        </is>
      </c>
      <c r="C90" s="18" t="inlineStr">
        <is>
          <t>בלו אנרגיה אבטיח 1/24 250 מ"ל (ירוק) BLU -</t>
        </is>
      </c>
      <c r="D90" s="20" t="n">
        <v>57</v>
      </c>
      <c r="E90" s="21" t="n">
        <v>2749</v>
      </c>
      <c r="F90" s="20">
        <f>D90*(1+'יעדים לפי סוכן'!$B$2)</f>
        <v>71.25</v>
      </c>
      <c r="G90" s="21">
        <f>E90*(1+'יעדים לפי סוכן'!$B$2)</f>
        <v>3436.25</v>
      </c>
      <c r="H90" s="21" t="n">
        <v>768</v>
      </c>
    </row>
    <row r="91">
      <c r="A91" s="18" t="inlineStr">
        <is>
          <t>רמי</t>
        </is>
      </c>
      <c r="B91" s="19" t="inlineStr">
        <is>
          <t>144020</t>
        </is>
      </c>
      <c r="C91" s="18" t="inlineStr">
        <is>
          <t>בלו אנרגיה אקזוטיק (ירוק בהיר) 250מ 1/24</t>
        </is>
      </c>
      <c r="D91" s="20" t="n">
        <v>34</v>
      </c>
      <c r="E91" s="21" t="n">
        <v>1647</v>
      </c>
      <c r="F91" s="20">
        <f>D91*(1+'יעדים לפי סוכן'!$B$2)</f>
        <v>42.5</v>
      </c>
      <c r="G91" s="21">
        <f>E91*(1+'יעדים לפי סוכן'!$B$2)</f>
        <v>2058.75</v>
      </c>
      <c r="H91" s="21" t="n">
        <v>668</v>
      </c>
    </row>
    <row r="92">
      <c r="A92" s="18" t="inlineStr">
        <is>
          <t>רמי</t>
        </is>
      </c>
      <c r="B92" s="19" t="inlineStr">
        <is>
          <t>144028</t>
        </is>
      </c>
      <c r="C92" s="18" t="inlineStr">
        <is>
          <t>בלו אנרגיה קרנברי (אדום) 250 מ"ל 1/24</t>
        </is>
      </c>
      <c r="D92" s="20" t="n">
        <v>0</v>
      </c>
      <c r="E92" s="21" t="n">
        <v>0</v>
      </c>
      <c r="F92" s="20">
        <f>D92*(1+'יעדים לפי סוכן'!$B$2)</f>
        <v>0</v>
      </c>
      <c r="G92" s="21">
        <f>E92*(1+'יעדים לפי סוכן'!$B$2)</f>
        <v>0</v>
      </c>
      <c r="H92" s="21" t="n">
        <v>193</v>
      </c>
    </row>
    <row r="93">
      <c r="A93" s="18" t="inlineStr">
        <is>
          <t>רמי</t>
        </is>
      </c>
      <c r="B93" s="19" t="inlineStr">
        <is>
          <t>144050</t>
        </is>
      </c>
      <c r="C93" s="18" t="inlineStr">
        <is>
          <t>בלו אנרגיה רגיל 150 מ"ל 1/24 (כחול)</t>
        </is>
      </c>
      <c r="D93" s="20" t="n">
        <v>0</v>
      </c>
      <c r="E93" s="21" t="n">
        <v>0</v>
      </c>
      <c r="F93" s="20">
        <f>D93*(1+'יעדים לפי סוכן'!$B$2)</f>
        <v>0</v>
      </c>
      <c r="G93" s="21">
        <f>E93*(1+'יעדים לפי סוכן'!$B$2)</f>
        <v>0</v>
      </c>
      <c r="H93" s="21" t="n">
        <v>185</v>
      </c>
    </row>
    <row r="94">
      <c r="A94" s="18" t="inlineStr">
        <is>
          <t>רמי</t>
        </is>
      </c>
      <c r="B94" s="19" t="inlineStr">
        <is>
          <t>144024</t>
        </is>
      </c>
      <c r="C94" s="18" t="inlineStr">
        <is>
          <t>בלו רגיל אנרגיה ללא סוכר 6 קלוריות 250 מ"ל (אדום) 1/24</t>
        </is>
      </c>
      <c r="D94" s="20" t="n">
        <v>0</v>
      </c>
      <c r="E94" s="21" t="n">
        <v>0</v>
      </c>
      <c r="F94" s="20">
        <f>D94*(1+'יעדים לפי סוכן'!$B$2)</f>
        <v>0</v>
      </c>
      <c r="G94" s="21">
        <f>E94*(1+'יעדים לפי סוכן'!$B$2)</f>
        <v>0</v>
      </c>
      <c r="H94" s="21" t="n">
        <v>382</v>
      </c>
    </row>
    <row r="95">
      <c r="A95" s="18" t="inlineStr">
        <is>
          <t>רמי</t>
        </is>
      </c>
      <c r="B95" s="19" t="inlineStr">
        <is>
          <t>144010</t>
        </is>
      </c>
      <c r="C95" s="18" t="inlineStr">
        <is>
          <t>בלו אנרגיה דיי ענבים (סגול) DAY 250 מ"ל 1/24</t>
        </is>
      </c>
      <c r="D95" s="20" t="n">
        <v>0</v>
      </c>
      <c r="E95" s="21" t="n">
        <v>0</v>
      </c>
      <c r="F95" s="20">
        <f>D95*(1+'יעדים לפי סוכן'!$B$2)</f>
        <v>0</v>
      </c>
      <c r="G95" s="21">
        <f>E95*(1+'יעדים לפי סוכן'!$B$2)</f>
        <v>0</v>
      </c>
      <c r="H95" s="21" t="n">
        <v>1052</v>
      </c>
    </row>
    <row r="96">
      <c r="A96" s="18" t="inlineStr">
        <is>
          <t>רמי</t>
        </is>
      </c>
      <c r="B96" s="19" t="inlineStr">
        <is>
          <t>144051</t>
        </is>
      </c>
      <c r="C96" s="18" t="inlineStr">
        <is>
          <t>בלו דיי אנרגיה 150 מ"ל 1/24 (תכלת)</t>
        </is>
      </c>
      <c r="D96" s="20" t="n">
        <v>0</v>
      </c>
      <c r="E96" s="21" t="n">
        <v>0</v>
      </c>
      <c r="F96" s="20">
        <f>D96*(1+'יעדים לפי סוכן'!$B$2)</f>
        <v>0</v>
      </c>
      <c r="G96" s="21">
        <f>E96*(1+'יעדים לפי סוכן'!$B$2)</f>
        <v>0</v>
      </c>
      <c r="H96" s="21" t="n">
        <v>212</v>
      </c>
    </row>
    <row r="97">
      <c r="A97" s="18" t="inlineStr">
        <is>
          <t>רמי</t>
        </is>
      </c>
      <c r="B97" s="19" t="inlineStr">
        <is>
          <t>144052</t>
        </is>
      </c>
      <c r="C97" s="18" t="inlineStr">
        <is>
          <t>בלו מוחיטו אנרגיה 150 מ"ל 1/24 (שחור)</t>
        </is>
      </c>
      <c r="D97" s="20" t="n">
        <v>0</v>
      </c>
      <c r="E97" s="21" t="n">
        <v>0</v>
      </c>
      <c r="F97" s="20">
        <f>D97*(1+'יעדים לפי סוכן'!$B$2)</f>
        <v>0</v>
      </c>
      <c r="G97" s="21">
        <f>E97*(1+'יעדים לפי סוכן'!$B$2)</f>
        <v>0</v>
      </c>
      <c r="H97" s="21" t="n">
        <v>212</v>
      </c>
    </row>
    <row r="98">
      <c r="A98" s="18" t="inlineStr">
        <is>
          <t>רמי</t>
        </is>
      </c>
      <c r="B98" s="19" t="inlineStr">
        <is>
          <t>144005</t>
        </is>
      </c>
      <c r="C98" s="18" t="inlineStr">
        <is>
          <t>בלו מונדיאל רגיל 250 מ"ל (כחול) BLU 1/24</t>
        </is>
      </c>
      <c r="D98" s="20" t="n">
        <v>0</v>
      </c>
      <c r="E98" s="21" t="n">
        <v>0</v>
      </c>
      <c r="F98" s="20">
        <f>D98*(1+'יעדים לפי סוכן'!$B$2)</f>
        <v>0</v>
      </c>
      <c r="G98" s="21">
        <f>E98*(1+'יעדים לפי סוכן'!$B$2)</f>
        <v>0</v>
      </c>
      <c r="H98" s="21" t="n">
        <v>205</v>
      </c>
    </row>
    <row r="99">
      <c r="A99" s="18" t="inlineStr">
        <is>
          <t>ישראל</t>
        </is>
      </c>
      <c r="B99" s="19" t="inlineStr">
        <is>
          <t>144008</t>
        </is>
      </c>
      <c r="C99" s="18" t="inlineStr">
        <is>
          <t>בלו דיי אנרגיה (תכלת) DAY 250 מ"ל 1/24</t>
        </is>
      </c>
      <c r="D99" s="20" t="n">
        <v>187</v>
      </c>
      <c r="E99" s="21" t="n">
        <v>9933</v>
      </c>
      <c r="F99" s="20">
        <f>D99*(1+'יעדים לפי סוכן'!$B$2)</f>
        <v>233.75</v>
      </c>
      <c r="G99" s="21">
        <f>E99*(1+'יעדים לפי סוכן'!$B$2)</f>
        <v>12416.25</v>
      </c>
      <c r="H99" s="21" t="n">
        <v>6969</v>
      </c>
    </row>
    <row r="100">
      <c r="A100" s="18" t="inlineStr">
        <is>
          <t>ישראל</t>
        </is>
      </c>
      <c r="B100" s="19" t="inlineStr">
        <is>
          <t>144004</t>
        </is>
      </c>
      <c r="C100" s="18" t="inlineStr">
        <is>
          <t>בלו אנרגיה רגיל 250 מ"ל (כחול) BLU 1/24</t>
        </is>
      </c>
      <c r="D100" s="20" t="n">
        <v>140</v>
      </c>
      <c r="E100" s="21" t="n">
        <v>7183</v>
      </c>
      <c r="F100" s="20">
        <f>D100*(1+'יעדים לפי סוכן'!$B$2)</f>
        <v>175</v>
      </c>
      <c r="G100" s="21">
        <f>E100*(1+'יעדים לפי סוכן'!$B$2)</f>
        <v>8978.75</v>
      </c>
      <c r="H100" s="21" t="n">
        <v>1176</v>
      </c>
    </row>
    <row r="101">
      <c r="A101" s="18" t="inlineStr">
        <is>
          <t>ישראל</t>
        </is>
      </c>
      <c r="B101" s="19" t="inlineStr">
        <is>
          <t>144020</t>
        </is>
      </c>
      <c r="C101" s="18" t="inlineStr">
        <is>
          <t>בלו אנרגיה אקזוטיק (ירוק בהיר) 250מ 1/24</t>
        </is>
      </c>
      <c r="D101" s="20" t="n">
        <v>49</v>
      </c>
      <c r="E101" s="21" t="n">
        <v>2607</v>
      </c>
      <c r="F101" s="20">
        <f>D101*(1+'יעדים לפי סוכן'!$B$2)</f>
        <v>61.25</v>
      </c>
      <c r="G101" s="21">
        <f>E101*(1+'יעדים לפי סוכן'!$B$2)</f>
        <v>3258.75</v>
      </c>
      <c r="H101" s="21" t="n">
        <v>1836</v>
      </c>
    </row>
    <row r="102">
      <c r="A102" s="18" t="inlineStr">
        <is>
          <t>ישראל</t>
        </is>
      </c>
      <c r="B102" s="19" t="inlineStr">
        <is>
          <t>144016</t>
        </is>
      </c>
      <c r="C102" s="18" t="inlineStr">
        <is>
          <t>בלו אנרגיה אבטיח 1/24 250 מ"ל (ירוק) BLU -</t>
        </is>
      </c>
      <c r="D102" s="20" t="n">
        <v>43</v>
      </c>
      <c r="E102" s="21" t="n">
        <v>2283</v>
      </c>
      <c r="F102" s="20">
        <f>D102*(1+'יעדים לפי סוכן'!$B$2)</f>
        <v>53.75</v>
      </c>
      <c r="G102" s="21">
        <f>E102*(1+'יעדים לפי סוכן'!$B$2)</f>
        <v>2853.75</v>
      </c>
      <c r="H102" s="21" t="n">
        <v>1573</v>
      </c>
    </row>
    <row r="103">
      <c r="A103" s="18" t="inlineStr">
        <is>
          <t>ישראל</t>
        </is>
      </c>
      <c r="B103" s="19" t="inlineStr">
        <is>
          <t>144012</t>
        </is>
      </c>
      <c r="C103" s="18" t="inlineStr">
        <is>
          <t>בלו אנרגיה מוחיטו 250 מ"ל (שחור) 1/24</t>
        </is>
      </c>
      <c r="D103" s="20" t="n">
        <v>33</v>
      </c>
      <c r="E103" s="21" t="n">
        <v>1747</v>
      </c>
      <c r="F103" s="20">
        <f>D103*(1+'יעדים לפי סוכן'!$B$2)</f>
        <v>41.25</v>
      </c>
      <c r="G103" s="21">
        <f>E103*(1+'יעדים לפי סוכן'!$B$2)</f>
        <v>2183.75</v>
      </c>
      <c r="H103" s="21" t="n">
        <v>1647</v>
      </c>
    </row>
    <row r="104">
      <c r="A104" s="18" t="inlineStr">
        <is>
          <t>ישראל</t>
        </is>
      </c>
      <c r="B104" s="19" t="inlineStr">
        <is>
          <t>144005</t>
        </is>
      </c>
      <c r="C104" s="18" t="inlineStr">
        <is>
          <t>בלו מונדיאל רגיל 250 מ"ל (כחול) BLU 1/24</t>
        </is>
      </c>
      <c r="D104" s="20" t="n">
        <v>0</v>
      </c>
      <c r="E104" s="21" t="n">
        <v>0</v>
      </c>
      <c r="F104" s="20">
        <f>D104*(1+'יעדים לפי סוכן'!$B$2)</f>
        <v>0</v>
      </c>
      <c r="G104" s="21">
        <f>E104*(1+'יעדים לפי סוכן'!$B$2)</f>
        <v>0</v>
      </c>
      <c r="H104" s="21" t="n">
        <v>12503</v>
      </c>
    </row>
    <row r="105">
      <c r="A105" s="18" t="inlineStr">
        <is>
          <t>ישראל</t>
        </is>
      </c>
      <c r="B105" s="19" t="inlineStr">
        <is>
          <t>144052</t>
        </is>
      </c>
      <c r="C105" s="18" t="inlineStr">
        <is>
          <t>בלו מוחיטו אנרגיה 150 מ"ל 1/24 (שחור)</t>
        </is>
      </c>
      <c r="D105" s="20" t="n">
        <v>0</v>
      </c>
      <c r="E105" s="21" t="n">
        <v>0</v>
      </c>
      <c r="F105" s="20">
        <f>D105*(1+'יעדים לפי סוכן'!$B$2)</f>
        <v>0</v>
      </c>
      <c r="G105" s="21">
        <f>E105*(1+'יעדים לפי סוכן'!$B$2)</f>
        <v>0</v>
      </c>
      <c r="H105" s="21" t="n">
        <v>1382</v>
      </c>
    </row>
    <row r="106">
      <c r="A106" s="18" t="inlineStr">
        <is>
          <t>ישראל</t>
        </is>
      </c>
      <c r="B106" s="19" t="inlineStr">
        <is>
          <t>144051</t>
        </is>
      </c>
      <c r="C106" s="18" t="inlineStr">
        <is>
          <t>בלו דיי אנרגיה 150 מ"ל 1/24 (תכלת)</t>
        </is>
      </c>
      <c r="D106" s="20" t="n">
        <v>0</v>
      </c>
      <c r="E106" s="21" t="n">
        <v>0</v>
      </c>
      <c r="F106" s="20">
        <f>D106*(1+'יעדים לפי סוכן'!$B$2)</f>
        <v>0</v>
      </c>
      <c r="G106" s="21">
        <f>E106*(1+'יעדים לפי סוכן'!$B$2)</f>
        <v>0</v>
      </c>
      <c r="H106" s="21" t="n">
        <v>3022</v>
      </c>
    </row>
    <row r="107">
      <c r="A107" s="18" t="inlineStr">
        <is>
          <t>ישראל</t>
        </is>
      </c>
      <c r="B107" s="19" t="inlineStr">
        <is>
          <t>144050</t>
        </is>
      </c>
      <c r="C107" s="18" t="inlineStr">
        <is>
          <t>בלו אנרגיה רגיל 150 מ"ל 1/24 (כחול)</t>
        </is>
      </c>
      <c r="D107" s="20" t="n">
        <v>0</v>
      </c>
      <c r="E107" s="21" t="n">
        <v>0</v>
      </c>
      <c r="F107" s="20">
        <f>D107*(1+'יעדים לפי סוכן'!$B$2)</f>
        <v>0</v>
      </c>
      <c r="G107" s="21">
        <f>E107*(1+'יעדים לפי סוכן'!$B$2)</f>
        <v>0</v>
      </c>
      <c r="H107" s="21" t="n">
        <v>2647</v>
      </c>
    </row>
    <row r="108">
      <c r="A108" s="18" t="inlineStr">
        <is>
          <t>ישראל</t>
        </is>
      </c>
      <c r="B108" s="19" t="inlineStr">
        <is>
          <t>144010</t>
        </is>
      </c>
      <c r="C108" s="18" t="inlineStr">
        <is>
          <t>בלו אנרגיה דיי ענבים (סגול) DAY 250 מ"ל 1/24</t>
        </is>
      </c>
      <c r="D108" s="20" t="n">
        <v>0</v>
      </c>
      <c r="E108" s="21" t="n">
        <v>0</v>
      </c>
      <c r="F108" s="20">
        <f>D108*(1+'יעדים לפי סוכן'!$B$2)</f>
        <v>0</v>
      </c>
      <c r="G108" s="21">
        <f>E108*(1+'יעדים לפי סוכן'!$B$2)</f>
        <v>0</v>
      </c>
      <c r="H108" s="21" t="n">
        <v>856</v>
      </c>
    </row>
    <row r="109">
      <c r="A109" s="18" t="inlineStr">
        <is>
          <t>ישראל</t>
        </is>
      </c>
      <c r="B109" s="19" t="inlineStr">
        <is>
          <t>144028</t>
        </is>
      </c>
      <c r="C109" s="18" t="inlineStr">
        <is>
          <t>בלו אנרגיה קרנברי (אדום) 250 מ"ל 1/24</t>
        </is>
      </c>
      <c r="D109" s="20" t="n">
        <v>0</v>
      </c>
      <c r="E109" s="21" t="n">
        <v>0</v>
      </c>
      <c r="F109" s="20">
        <f>D109*(1+'יעדים לפי סוכן'!$B$2)</f>
        <v>0</v>
      </c>
      <c r="G109" s="21">
        <f>E109*(1+'יעדים לפי סוכן'!$B$2)</f>
        <v>0</v>
      </c>
      <c r="H109" s="21" t="n">
        <v>398</v>
      </c>
    </row>
    <row r="110">
      <c r="A110" s="18" t="inlineStr">
        <is>
          <t>ישראל</t>
        </is>
      </c>
      <c r="B110" s="19" t="inlineStr">
        <is>
          <t>144024</t>
        </is>
      </c>
      <c r="C110" s="18" t="inlineStr">
        <is>
          <t>בלו רגיל אנרגיה ללא סוכר 6 קלוריות 250 מ"ל (אדום) 1/24</t>
        </is>
      </c>
      <c r="D110" s="20" t="n">
        <v>0</v>
      </c>
      <c r="E110" s="21" t="n">
        <v>0</v>
      </c>
      <c r="F110" s="20">
        <f>D110*(1+'יעדים לפי סוכן'!$B$2)</f>
        <v>0</v>
      </c>
      <c r="G110" s="21">
        <f>E110*(1+'יעדים לפי סוכן'!$B$2)</f>
        <v>0</v>
      </c>
      <c r="H110" s="21" t="n">
        <v>305</v>
      </c>
    </row>
    <row r="111">
      <c r="A111" s="18" t="inlineStr">
        <is>
          <t>אדם</t>
        </is>
      </c>
      <c r="B111" s="19" t="inlineStr">
        <is>
          <t>144008</t>
        </is>
      </c>
      <c r="C111" s="18" t="inlineStr">
        <is>
          <t>בלו דיי אנרגיה (תכלת) DAY 250 מ"ל 1/24</t>
        </is>
      </c>
      <c r="D111" s="20" t="n">
        <v>212</v>
      </c>
      <c r="E111" s="21" t="n">
        <v>10907</v>
      </c>
      <c r="F111" s="20">
        <f>D111*(1+'יעדים לפי סוכן'!$B$2)</f>
        <v>265</v>
      </c>
      <c r="G111" s="21">
        <f>E111*(1+'יעדים לפי סוכן'!$B$2)</f>
        <v>13633.75</v>
      </c>
      <c r="H111" s="21" t="n">
        <v>4342</v>
      </c>
    </row>
    <row r="112">
      <c r="A112" s="18" t="inlineStr">
        <is>
          <t>אדם</t>
        </is>
      </c>
      <c r="B112" s="19" t="inlineStr">
        <is>
          <t>144012</t>
        </is>
      </c>
      <c r="C112" s="18" t="inlineStr">
        <is>
          <t>בלו אנרגיה מוחיטו 250 מ"ל (שחור) 1/24</t>
        </is>
      </c>
      <c r="D112" s="20" t="n">
        <v>99</v>
      </c>
      <c r="E112" s="21" t="n">
        <v>5088</v>
      </c>
      <c r="F112" s="20">
        <f>D112*(1+'יעדים לפי סוכן'!$B$2)</f>
        <v>123.75</v>
      </c>
      <c r="G112" s="21">
        <f>E112*(1+'יעדים לפי סוכן'!$B$2)</f>
        <v>6360</v>
      </c>
      <c r="H112" s="21" t="n">
        <v>2873</v>
      </c>
    </row>
    <row r="113">
      <c r="A113" s="18" t="inlineStr">
        <is>
          <t>אדם</t>
        </is>
      </c>
      <c r="B113" s="19" t="inlineStr">
        <is>
          <t>144004</t>
        </is>
      </c>
      <c r="C113" s="18" t="inlineStr">
        <is>
          <t>בלו אנרגיה רגיל 250 מ"ל (כחול) BLU 1/24</t>
        </is>
      </c>
      <c r="D113" s="20" t="n">
        <v>74</v>
      </c>
      <c r="E113" s="21" t="n">
        <v>3586</v>
      </c>
      <c r="F113" s="20">
        <f>D113*(1+'יעדים לפי סוכן'!$B$2)</f>
        <v>92.5</v>
      </c>
      <c r="G113" s="21">
        <f>E113*(1+'יעדים לפי סוכן'!$B$2)</f>
        <v>4482.5</v>
      </c>
      <c r="H113" s="21" t="n">
        <v>1694</v>
      </c>
    </row>
    <row r="114">
      <c r="A114" s="18" t="inlineStr">
        <is>
          <t>אדם</t>
        </is>
      </c>
      <c r="B114" s="19" t="inlineStr">
        <is>
          <t>144020</t>
        </is>
      </c>
      <c r="C114" s="18" t="inlineStr">
        <is>
          <t>בלו אנרגיה אקזוטיק (ירוק בהיר) 250מ 1/24</t>
        </is>
      </c>
      <c r="D114" s="20" t="n">
        <v>28</v>
      </c>
      <c r="E114" s="21" t="n">
        <v>1436</v>
      </c>
      <c r="F114" s="20">
        <f>D114*(1+'יעדים לפי סוכן'!$B$2)</f>
        <v>35</v>
      </c>
      <c r="G114" s="21">
        <f>E114*(1+'יעדים לפי סוכן'!$B$2)</f>
        <v>1795</v>
      </c>
      <c r="H114" s="21" t="n">
        <v>772</v>
      </c>
    </row>
    <row r="115">
      <c r="A115" s="18" t="inlineStr">
        <is>
          <t>אדם</t>
        </is>
      </c>
      <c r="B115" s="19" t="inlineStr">
        <is>
          <t>144016</t>
        </is>
      </c>
      <c r="C115" s="18" t="inlineStr">
        <is>
          <t>בלו אנרגיה אבטיח 1/24 250 מ"ל (ירוק) BLU -</t>
        </is>
      </c>
      <c r="D115" s="20" t="n">
        <v>25</v>
      </c>
      <c r="E115" s="21" t="n">
        <v>1283</v>
      </c>
      <c r="F115" s="20">
        <f>D115*(1+'יעדים לפי סוכן'!$B$2)</f>
        <v>31.25</v>
      </c>
      <c r="G115" s="21">
        <f>E115*(1+'יעדים לפי סוכן'!$B$2)</f>
        <v>1603.75</v>
      </c>
      <c r="H115" s="21" t="n">
        <v>1026</v>
      </c>
    </row>
    <row r="116">
      <c r="A116" s="18" t="inlineStr">
        <is>
          <t>אדם</t>
        </is>
      </c>
      <c r="B116" s="19" t="inlineStr">
        <is>
          <t>144028</t>
        </is>
      </c>
      <c r="C116" s="18" t="inlineStr">
        <is>
          <t>בלו אנרגיה קרנברי (אדום) 250 מ"ל 1/24</t>
        </is>
      </c>
      <c r="D116" s="20" t="n">
        <v>0</v>
      </c>
      <c r="E116" s="21" t="n">
        <v>0</v>
      </c>
      <c r="F116" s="20">
        <f>D116*(1+'יעדים לפי סוכן'!$B$2)</f>
        <v>0</v>
      </c>
      <c r="G116" s="21">
        <f>E116*(1+'יעדים לפי סוכן'!$B$2)</f>
        <v>0</v>
      </c>
      <c r="H116" s="21" t="n">
        <v>556</v>
      </c>
    </row>
    <row r="117">
      <c r="A117" s="18" t="inlineStr">
        <is>
          <t>אדם</t>
        </is>
      </c>
      <c r="B117" s="19" t="inlineStr">
        <is>
          <t>144051</t>
        </is>
      </c>
      <c r="C117" s="18" t="inlineStr">
        <is>
          <t>בלו דיי אנרגיה 150 מ"ל 1/24 (תכלת)</t>
        </is>
      </c>
      <c r="D117" s="20" t="n">
        <v>0</v>
      </c>
      <c r="E117" s="21" t="n">
        <v>0</v>
      </c>
      <c r="F117" s="20">
        <f>D117*(1+'יעדים לפי סוכן'!$B$2)</f>
        <v>0</v>
      </c>
      <c r="G117" s="21">
        <f>E117*(1+'יעדים לפי סוכן'!$B$2)</f>
        <v>0</v>
      </c>
      <c r="H117" s="21" t="n">
        <v>302</v>
      </c>
    </row>
    <row r="118">
      <c r="A118" s="18" t="inlineStr">
        <is>
          <t>אדם</t>
        </is>
      </c>
      <c r="B118" s="19" t="inlineStr">
        <is>
          <t>144052</t>
        </is>
      </c>
      <c r="C118" s="18" t="inlineStr">
        <is>
          <t>בלו מוחיטו אנרגיה 150 מ"ל 1/24 (שחור)</t>
        </is>
      </c>
      <c r="D118" s="20" t="n">
        <v>0</v>
      </c>
      <c r="E118" s="21" t="n">
        <v>0</v>
      </c>
      <c r="F118" s="20">
        <f>D118*(1+'יעדים לפי סוכן'!$B$2)</f>
        <v>0</v>
      </c>
      <c r="G118" s="21">
        <f>E118*(1+'יעדים לפי סוכן'!$B$2)</f>
        <v>0</v>
      </c>
      <c r="H118" s="21" t="n">
        <v>302</v>
      </c>
    </row>
    <row r="119">
      <c r="A119" s="18" t="inlineStr">
        <is>
          <t>אדם</t>
        </is>
      </c>
      <c r="B119" s="19" t="inlineStr">
        <is>
          <t>144050</t>
        </is>
      </c>
      <c r="C119" s="18" t="inlineStr">
        <is>
          <t>בלו אנרגיה רגיל 150 מ"ל 1/24 (כחול)</t>
        </is>
      </c>
      <c r="D119" s="20" t="n">
        <v>0</v>
      </c>
      <c r="E119" s="21" t="n">
        <v>0</v>
      </c>
      <c r="F119" s="20">
        <f>D119*(1+'יעדים לפי סוכן'!$B$2)</f>
        <v>0</v>
      </c>
      <c r="G119" s="21">
        <f>E119*(1+'יעדים לפי סוכן'!$B$2)</f>
        <v>0</v>
      </c>
      <c r="H119" s="21" t="n">
        <v>189</v>
      </c>
    </row>
    <row r="120">
      <c r="A120" s="18" t="inlineStr">
        <is>
          <t>אדם</t>
        </is>
      </c>
      <c r="B120" s="19" t="inlineStr">
        <is>
          <t>144010</t>
        </is>
      </c>
      <c r="C120" s="18" t="inlineStr">
        <is>
          <t>בלו אנרגיה דיי ענבים (סגול) DAY 250 מ"ל 1/24</t>
        </is>
      </c>
      <c r="D120" s="20" t="n">
        <v>0</v>
      </c>
      <c r="E120" s="21" t="n">
        <v>0</v>
      </c>
      <c r="F120" s="20">
        <f>D120*(1+'יעדים לפי סוכן'!$B$2)</f>
        <v>0</v>
      </c>
      <c r="G120" s="21">
        <f>E120*(1+'יעדים לפי סוכן'!$B$2)</f>
        <v>0</v>
      </c>
      <c r="H120" s="21" t="n">
        <v>465</v>
      </c>
    </row>
    <row r="121">
      <c r="A121" s="18" t="inlineStr">
        <is>
          <t>אדם</t>
        </is>
      </c>
      <c r="B121" s="19" t="inlineStr">
        <is>
          <t>144024</t>
        </is>
      </c>
      <c r="C121" s="18" t="inlineStr">
        <is>
          <t>בלו רגיל אנרגיה ללא סוכר 6 קלוריות 250 מ"ל (אדום) 1/24</t>
        </is>
      </c>
      <c r="D121" s="20" t="n">
        <v>0</v>
      </c>
      <c r="E121" s="21" t="n">
        <v>0</v>
      </c>
      <c r="F121" s="20">
        <f>D121*(1+'יעדים לפי סוכן'!$B$2)</f>
        <v>0</v>
      </c>
      <c r="G121" s="21">
        <f>E121*(1+'יעדים לפי סוכן'!$B$2)</f>
        <v>0</v>
      </c>
      <c r="H121" s="21" t="n">
        <v>155</v>
      </c>
    </row>
    <row r="122">
      <c r="A122" s="18" t="inlineStr">
        <is>
          <t>אדם</t>
        </is>
      </c>
      <c r="B122" s="19" t="inlineStr">
        <is>
          <t>144005</t>
        </is>
      </c>
      <c r="C122" s="18" t="inlineStr">
        <is>
          <t>בלו מונדיאל רגיל 250 מ"ל (כחול) BLU 1/24</t>
        </is>
      </c>
      <c r="D122" s="20" t="n">
        <v>0</v>
      </c>
      <c r="E122" s="21" t="n">
        <v>0</v>
      </c>
      <c r="F122" s="20">
        <f>D122*(1+'יעדים לפי סוכן'!$B$2)</f>
        <v>0</v>
      </c>
      <c r="G122" s="21">
        <f>E122*(1+'יעדים לפי סוכן'!$B$2)</f>
        <v>0</v>
      </c>
      <c r="H122" s="21" t="n">
        <v>50</v>
      </c>
    </row>
    <row r="123">
      <c r="A123" s="18" t="inlineStr">
        <is>
          <t>בני</t>
        </is>
      </c>
      <c r="B123" s="19" t="inlineStr">
        <is>
          <t>144008</t>
        </is>
      </c>
      <c r="C123" s="18" t="inlineStr">
        <is>
          <t>בלו דיי אנרגיה (תכלת) DAY 250 מ"ל 1/24</t>
        </is>
      </c>
      <c r="D123" s="20" t="n">
        <v>160</v>
      </c>
      <c r="E123" s="21" t="n">
        <v>7886</v>
      </c>
      <c r="F123" s="20">
        <f>D123*(1+'יעדים לפי סוכן'!$B$2)</f>
        <v>200</v>
      </c>
      <c r="G123" s="21">
        <f>E123*(1+'יעדים לפי סוכן'!$B$2)</f>
        <v>9857.5</v>
      </c>
      <c r="H123" s="21" t="n">
        <v>4397</v>
      </c>
    </row>
    <row r="124">
      <c r="A124" s="18" t="inlineStr">
        <is>
          <t>בני</t>
        </is>
      </c>
      <c r="B124" s="19" t="inlineStr">
        <is>
          <t>144004</t>
        </is>
      </c>
      <c r="C124" s="18" t="inlineStr">
        <is>
          <t>בלו אנרגיה רגיל 250 מ"ל (כחול) BLU 1/24</t>
        </is>
      </c>
      <c r="D124" s="20" t="n">
        <v>158</v>
      </c>
      <c r="E124" s="21" t="n">
        <v>7417</v>
      </c>
      <c r="F124" s="20">
        <f>D124*(1+'יעדים לפי סוכן'!$B$2)</f>
        <v>197.5</v>
      </c>
      <c r="G124" s="21">
        <f>E124*(1+'יעדים לפי סוכן'!$B$2)</f>
        <v>9271.25</v>
      </c>
      <c r="H124" s="21" t="n">
        <v>3585</v>
      </c>
    </row>
    <row r="125">
      <c r="A125" s="18" t="inlineStr">
        <is>
          <t>בני</t>
        </is>
      </c>
      <c r="B125" s="19" t="inlineStr">
        <is>
          <t>144012</t>
        </is>
      </c>
      <c r="C125" s="18" t="inlineStr">
        <is>
          <t>בלו אנרגיה מוחיטו 250 מ"ל (שחור) 1/24</t>
        </is>
      </c>
      <c r="D125" s="20" t="n">
        <v>69</v>
      </c>
      <c r="E125" s="21" t="n">
        <v>3371</v>
      </c>
      <c r="F125" s="20">
        <f>D125*(1+'יעדים לפי סוכן'!$B$2)</f>
        <v>86.25</v>
      </c>
      <c r="G125" s="21">
        <f>E125*(1+'יעדים לפי סוכן'!$B$2)</f>
        <v>4213.75</v>
      </c>
      <c r="H125" s="21" t="n">
        <v>3806</v>
      </c>
    </row>
    <row r="126">
      <c r="A126" s="18" t="inlineStr">
        <is>
          <t>בני</t>
        </is>
      </c>
      <c r="B126" s="19" t="inlineStr">
        <is>
          <t>144016</t>
        </is>
      </c>
      <c r="C126" s="18" t="inlineStr">
        <is>
          <t>בלו אנרגיה אבטיח 1/24 250 מ"ל (ירוק) BLU -</t>
        </is>
      </c>
      <c r="D126" s="20" t="n">
        <v>33</v>
      </c>
      <c r="E126" s="21" t="n">
        <v>1589</v>
      </c>
      <c r="F126" s="20">
        <f>D126*(1+'יעדים לפי סוכן'!$B$2)</f>
        <v>41.25</v>
      </c>
      <c r="G126" s="21">
        <f>E126*(1+'יעדים לפי סוכן'!$B$2)</f>
        <v>1986.25</v>
      </c>
      <c r="H126" s="21" t="n">
        <v>1356</v>
      </c>
    </row>
    <row r="127">
      <c r="A127" s="18" t="inlineStr">
        <is>
          <t>בני</t>
        </is>
      </c>
      <c r="B127" s="19" t="inlineStr">
        <is>
          <t>144020</t>
        </is>
      </c>
      <c r="C127" s="18" t="inlineStr">
        <is>
          <t>בלו אנרגיה אקזוטיק (ירוק בהיר) 250מ 1/24</t>
        </is>
      </c>
      <c r="D127" s="20" t="n">
        <v>17</v>
      </c>
      <c r="E127" s="21" t="n">
        <v>800</v>
      </c>
      <c r="F127" s="20">
        <f>D127*(1+'יעדים לפי סוכן'!$B$2)</f>
        <v>21.25</v>
      </c>
      <c r="G127" s="21">
        <f>E127*(1+'יעדים לפי סוכן'!$B$2)</f>
        <v>1000</v>
      </c>
      <c r="H127" s="21" t="n">
        <v>960</v>
      </c>
    </row>
    <row r="128">
      <c r="A128" s="18" t="inlineStr">
        <is>
          <t>בני</t>
        </is>
      </c>
      <c r="B128" s="19" t="inlineStr">
        <is>
          <t>144010</t>
        </is>
      </c>
      <c r="C128" s="18" t="inlineStr">
        <is>
          <t>בלו אנרגיה דיי ענבים (סגול) DAY 250 מ"ל 1/24</t>
        </is>
      </c>
      <c r="D128" s="20" t="n">
        <v>0</v>
      </c>
      <c r="E128" s="21" t="n">
        <v>0</v>
      </c>
      <c r="F128" s="20">
        <f>D128*(1+'יעדים לפי סוכן'!$B$2)</f>
        <v>0</v>
      </c>
      <c r="G128" s="21">
        <f>E128*(1+'יעדים לפי סוכן'!$B$2)</f>
        <v>0</v>
      </c>
      <c r="H128" s="21" t="n">
        <v>766</v>
      </c>
    </row>
    <row r="129">
      <c r="A129" s="18" t="inlineStr">
        <is>
          <t>בני</t>
        </is>
      </c>
      <c r="B129" s="19" t="inlineStr">
        <is>
          <t>144024</t>
        </is>
      </c>
      <c r="C129" s="18" t="inlineStr">
        <is>
          <t>בלו רגיל אנרגיה ללא סוכר 6 קלוריות 250 מ"ל (אדום) 1/24</t>
        </is>
      </c>
      <c r="D129" s="20" t="n">
        <v>0</v>
      </c>
      <c r="E129" s="21" t="n">
        <v>0</v>
      </c>
      <c r="F129" s="20">
        <f>D129*(1+'יעדים לפי סוכן'!$B$2)</f>
        <v>0</v>
      </c>
      <c r="G129" s="21">
        <f>E129*(1+'יעדים לפי סוכן'!$B$2)</f>
        <v>0</v>
      </c>
      <c r="H129" s="21" t="n">
        <v>188</v>
      </c>
    </row>
    <row r="130">
      <c r="A130" s="18" t="inlineStr">
        <is>
          <t>בני</t>
        </is>
      </c>
      <c r="B130" s="19" t="inlineStr">
        <is>
          <t>144028</t>
        </is>
      </c>
      <c r="C130" s="18" t="inlineStr">
        <is>
          <t>בלו אנרגיה קרנברי (אדום) 250 מ"ל 1/24</t>
        </is>
      </c>
      <c r="D130" s="20" t="n">
        <v>0</v>
      </c>
      <c r="E130" s="21" t="n">
        <v>0</v>
      </c>
      <c r="F130" s="20">
        <f>D130*(1+'יעדים לפי סוכן'!$B$2)</f>
        <v>0</v>
      </c>
      <c r="G130" s="21">
        <f>E130*(1+'יעדים לפי סוכן'!$B$2)</f>
        <v>0</v>
      </c>
      <c r="H130" s="21" t="n">
        <v>619</v>
      </c>
    </row>
    <row r="131">
      <c r="A131" s="18" t="inlineStr">
        <is>
          <t>בני</t>
        </is>
      </c>
      <c r="B131" s="19" t="inlineStr">
        <is>
          <t>144051</t>
        </is>
      </c>
      <c r="C131" s="18" t="inlineStr">
        <is>
          <t>בלו דיי אנרגיה 150 מ"ל 1/24 (תכלת)</t>
        </is>
      </c>
      <c r="D131" s="20" t="n">
        <v>0</v>
      </c>
      <c r="E131" s="21" t="n">
        <v>0</v>
      </c>
      <c r="F131" s="20">
        <f>D131*(1+'יעדים לפי סוכן'!$B$2)</f>
        <v>0</v>
      </c>
      <c r="G131" s="21">
        <f>E131*(1+'יעדים לפי סוכן'!$B$2)</f>
        <v>0</v>
      </c>
      <c r="H131" s="21" t="n">
        <v>83</v>
      </c>
    </row>
    <row r="132">
      <c r="A132" s="18" t="inlineStr">
        <is>
          <t>בני</t>
        </is>
      </c>
      <c r="B132" s="19" t="inlineStr">
        <is>
          <t>144005</t>
        </is>
      </c>
      <c r="C132" s="18" t="inlineStr">
        <is>
          <t>בלו מונדיאל רגיל 250 מ"ל (כחול) BLU 1/24</t>
        </is>
      </c>
      <c r="D132" s="20" t="n">
        <v>0</v>
      </c>
      <c r="E132" s="21" t="n">
        <v>0</v>
      </c>
      <c r="F132" s="20">
        <f>D132*(1+'יעדים לפי סוכן'!$B$2)</f>
        <v>0</v>
      </c>
      <c r="G132" s="21">
        <f>E132*(1+'יעדים לפי סוכן'!$B$2)</f>
        <v>0</v>
      </c>
      <c r="H132" s="21" t="n">
        <v>246</v>
      </c>
    </row>
    <row r="133">
      <c r="A133" s="18" t="inlineStr">
        <is>
          <t>צחי</t>
        </is>
      </c>
      <c r="B133" s="19" t="inlineStr">
        <is>
          <t>144004</t>
        </is>
      </c>
      <c r="C133" s="18" t="inlineStr">
        <is>
          <t>בלו אנרגיה רגיל 250 מ"ל (כחול) BLU 1/24</t>
        </is>
      </c>
      <c r="D133" s="20" t="n">
        <v>166</v>
      </c>
      <c r="E133" s="21" t="n">
        <v>7509</v>
      </c>
      <c r="F133" s="20">
        <f>D133*(1+'יעדים לפי סוכן'!$B$2)</f>
        <v>207.5</v>
      </c>
      <c r="G133" s="21">
        <f>E133*(1+'יעדים לפי סוכן'!$B$2)</f>
        <v>9386.25</v>
      </c>
      <c r="H133" s="21" t="n">
        <v>705</v>
      </c>
    </row>
    <row r="134">
      <c r="A134" s="18" t="inlineStr">
        <is>
          <t>צחי</t>
        </is>
      </c>
      <c r="B134" s="19" t="inlineStr">
        <is>
          <t>144008</t>
        </is>
      </c>
      <c r="C134" s="18" t="inlineStr">
        <is>
          <t>בלו דיי אנרגיה (תכלת) DAY 250 מ"ל 1/24</t>
        </is>
      </c>
      <c r="D134" s="20" t="n">
        <v>100</v>
      </c>
      <c r="E134" s="21" t="n">
        <v>4821</v>
      </c>
      <c r="F134" s="20">
        <f>D134*(1+'יעדים לפי סוכן'!$B$2)</f>
        <v>125</v>
      </c>
      <c r="G134" s="21">
        <f>E134*(1+'יעדים לפי סוכן'!$B$2)</f>
        <v>6026.25</v>
      </c>
      <c r="H134" s="21" t="n">
        <v>3395</v>
      </c>
    </row>
    <row r="135">
      <c r="A135" s="18" t="inlineStr">
        <is>
          <t>צחי</t>
        </is>
      </c>
      <c r="B135" s="19" t="inlineStr">
        <is>
          <t>144012</t>
        </is>
      </c>
      <c r="C135" s="18" t="inlineStr">
        <is>
          <t>בלו אנרגיה מוחיטו 250 מ"ל (שחור) 1/24</t>
        </is>
      </c>
      <c r="D135" s="20" t="n">
        <v>92</v>
      </c>
      <c r="E135" s="21" t="n">
        <v>4545</v>
      </c>
      <c r="F135" s="20">
        <f>D135*(1+'יעדים לפי סוכן'!$B$2)</f>
        <v>115</v>
      </c>
      <c r="G135" s="21">
        <f>E135*(1+'יעדים לפי סוכן'!$B$2)</f>
        <v>5681.25</v>
      </c>
      <c r="H135" s="21" t="n">
        <v>3103</v>
      </c>
    </row>
    <row r="136">
      <c r="A136" s="18" t="inlineStr">
        <is>
          <t>צחי</t>
        </is>
      </c>
      <c r="B136" s="19" t="inlineStr">
        <is>
          <t>144016</t>
        </is>
      </c>
      <c r="C136" s="18" t="inlineStr">
        <is>
          <t>בלו אנרגיה אבטיח 1/24 250 מ"ל (ירוק) BLU -</t>
        </is>
      </c>
      <c r="D136" s="20" t="n">
        <v>29</v>
      </c>
      <c r="E136" s="21" t="n">
        <v>1426</v>
      </c>
      <c r="F136" s="20">
        <f>D136*(1+'יעדים לפי סוכן'!$B$2)</f>
        <v>36.25</v>
      </c>
      <c r="G136" s="21">
        <f>E136*(1+'יעדים לפי סוכן'!$B$2)</f>
        <v>1782.5</v>
      </c>
      <c r="H136" s="21" t="n">
        <v>635</v>
      </c>
    </row>
    <row r="137">
      <c r="A137" s="18" t="inlineStr">
        <is>
          <t>צחי</t>
        </is>
      </c>
      <c r="B137" s="19" t="inlineStr">
        <is>
          <t>144020</t>
        </is>
      </c>
      <c r="C137" s="18" t="inlineStr">
        <is>
          <t>בלו אנרגיה אקזוטיק (ירוק בהיר) 250מ 1/24</t>
        </is>
      </c>
      <c r="D137" s="20" t="n">
        <v>20</v>
      </c>
      <c r="E137" s="21" t="n">
        <v>978</v>
      </c>
      <c r="F137" s="20">
        <f>D137*(1+'יעדים לפי סוכן'!$B$2)</f>
        <v>25</v>
      </c>
      <c r="G137" s="21">
        <f>E137*(1+'יעדים לפי סוכן'!$B$2)</f>
        <v>1222.5</v>
      </c>
      <c r="H137" s="21" t="n">
        <v>929</v>
      </c>
    </row>
    <row r="138">
      <c r="A138" s="18" t="inlineStr">
        <is>
          <t>צחי</t>
        </is>
      </c>
      <c r="B138" s="19" t="inlineStr">
        <is>
          <t>144028</t>
        </is>
      </c>
      <c r="C138" s="18" t="inlineStr">
        <is>
          <t>בלו אנרגיה קרנברי (אדום) 250 מ"ל 1/24</t>
        </is>
      </c>
      <c r="D138" s="20" t="n">
        <v>0</v>
      </c>
      <c r="E138" s="21" t="n">
        <v>0</v>
      </c>
      <c r="F138" s="20">
        <f>D138*(1+'יעדים לפי סוכן'!$B$2)</f>
        <v>0</v>
      </c>
      <c r="G138" s="21">
        <f>E138*(1+'יעדים לפי סוכן'!$B$2)</f>
        <v>0</v>
      </c>
      <c r="H138" s="21" t="n">
        <v>439</v>
      </c>
    </row>
    <row r="139">
      <c r="A139" s="18" t="inlineStr">
        <is>
          <t>צחי</t>
        </is>
      </c>
      <c r="B139" s="19" t="inlineStr">
        <is>
          <t>144010</t>
        </is>
      </c>
      <c r="C139" s="18" t="inlineStr">
        <is>
          <t>בלו אנרגיה דיי ענבים (סגול) DAY 250 מ"ל 1/24</t>
        </is>
      </c>
      <c r="D139" s="20" t="n">
        <v>0</v>
      </c>
      <c r="E139" s="21" t="n">
        <v>0</v>
      </c>
      <c r="F139" s="20">
        <f>D139*(1+'יעדים לפי סוכן'!$B$2)</f>
        <v>0</v>
      </c>
      <c r="G139" s="21">
        <f>E139*(1+'יעדים לפי סוכן'!$B$2)</f>
        <v>0</v>
      </c>
      <c r="H139" s="21" t="n">
        <v>633</v>
      </c>
    </row>
    <row r="140">
      <c r="A140" s="18" t="inlineStr">
        <is>
          <t>צחי</t>
        </is>
      </c>
      <c r="B140" s="19" t="inlineStr">
        <is>
          <t>144024</t>
        </is>
      </c>
      <c r="C140" s="18" t="inlineStr">
        <is>
          <t>בלו רגיל אנרגיה ללא סוכר 6 קלוריות 250 מ"ל (אדום) 1/24</t>
        </is>
      </c>
      <c r="D140" s="20" t="n">
        <v>0</v>
      </c>
      <c r="E140" s="21" t="n">
        <v>0</v>
      </c>
      <c r="F140" s="20">
        <f>D140*(1+'יעדים לפי סוכן'!$B$2)</f>
        <v>0</v>
      </c>
      <c r="G140" s="21">
        <f>E140*(1+'יעדים לפי סוכן'!$B$2)</f>
        <v>0</v>
      </c>
      <c r="H140" s="21" t="n">
        <v>98</v>
      </c>
    </row>
    <row r="141">
      <c r="A141" s="18" t="inlineStr">
        <is>
          <t>צחי</t>
        </is>
      </c>
      <c r="B141" s="19" t="inlineStr">
        <is>
          <t>144005</t>
        </is>
      </c>
      <c r="C141" s="18" t="inlineStr">
        <is>
          <t>בלו מונדיאל רגיל 250 מ"ל (כחול) BLU 1/24</t>
        </is>
      </c>
      <c r="D141" s="20" t="n">
        <v>0</v>
      </c>
      <c r="E141" s="21" t="n">
        <v>0</v>
      </c>
      <c r="F141" s="20">
        <f>D141*(1+'יעדים לפי סוכן'!$B$2)</f>
        <v>0</v>
      </c>
      <c r="G141" s="21">
        <f>E141*(1+'יעדים לפי סוכן'!$B$2)</f>
        <v>0</v>
      </c>
      <c r="H141" s="21" t="n">
        <v>2337</v>
      </c>
    </row>
    <row r="142">
      <c r="A142" s="18" t="inlineStr">
        <is>
          <t>צחי</t>
        </is>
      </c>
      <c r="B142" s="19" t="inlineStr">
        <is>
          <t>144050</t>
        </is>
      </c>
      <c r="C142" s="18" t="inlineStr">
        <is>
          <t>בלו אנרגיה רגיל 150 מ"ל 1/24 (כחול)</t>
        </is>
      </c>
      <c r="D142" s="20" t="n">
        <v>0</v>
      </c>
      <c r="E142" s="21" t="n">
        <v>0</v>
      </c>
      <c r="F142" s="20">
        <f>D142*(1+'יעדים לפי סוכן'!$B$2)</f>
        <v>0</v>
      </c>
      <c r="G142" s="21">
        <f>E142*(1+'יעדים לפי סוכן'!$B$2)</f>
        <v>0</v>
      </c>
      <c r="H142" s="21" t="n">
        <v>152</v>
      </c>
    </row>
    <row r="143">
      <c r="A143" s="18" t="inlineStr">
        <is>
          <t>צחי</t>
        </is>
      </c>
      <c r="B143" s="19" t="inlineStr">
        <is>
          <t>144052</t>
        </is>
      </c>
      <c r="C143" s="18" t="inlineStr">
        <is>
          <t>בלו מוחיטו אנרגיה 150 מ"ל 1/24 (שחור)</t>
        </is>
      </c>
      <c r="D143" s="20" t="n">
        <v>0</v>
      </c>
      <c r="E143" s="21" t="n">
        <v>0</v>
      </c>
      <c r="F143" s="20">
        <f>D143*(1+'יעדים לפי סוכן'!$B$2)</f>
        <v>0</v>
      </c>
      <c r="G143" s="21">
        <f>E143*(1+'יעדים לפי סוכן'!$B$2)</f>
        <v>0</v>
      </c>
      <c r="H143" s="21" t="n">
        <v>86</v>
      </c>
    </row>
    <row r="144">
      <c r="A144" s="18" t="inlineStr">
        <is>
          <t>צחי</t>
        </is>
      </c>
      <c r="B144" s="19" t="inlineStr">
        <is>
          <t>144051</t>
        </is>
      </c>
      <c r="C144" s="18" t="inlineStr">
        <is>
          <t>בלו דיי אנרגיה 150 מ"ל 1/24 (תכלת)</t>
        </is>
      </c>
      <c r="D144" s="20" t="n">
        <v>0</v>
      </c>
      <c r="E144" s="21" t="n">
        <v>0</v>
      </c>
      <c r="F144" s="20">
        <f>D144*(1+'יעדים לפי סוכן'!$B$2)</f>
        <v>0</v>
      </c>
      <c r="G144" s="21">
        <f>E144*(1+'יעדים לפי סוכן'!$B$2)</f>
        <v>0</v>
      </c>
      <c r="H144" s="21" t="n">
        <v>86</v>
      </c>
    </row>
    <row r="145">
      <c r="A145" s="18" t="inlineStr">
        <is>
          <t>עומר</t>
        </is>
      </c>
      <c r="B145" s="19" t="inlineStr">
        <is>
          <t>144008</t>
        </is>
      </c>
      <c r="C145" s="18" t="inlineStr">
        <is>
          <t>בלו דיי אנרגיה (תכלת) DAY 250 מ"ל 1/24</t>
        </is>
      </c>
      <c r="D145" s="20" t="n">
        <v>125</v>
      </c>
      <c r="E145" s="21" t="n">
        <v>6207</v>
      </c>
      <c r="F145" s="20">
        <f>D145*(1+'יעדים לפי סוכן'!$B$2)</f>
        <v>156.25</v>
      </c>
      <c r="G145" s="21">
        <f>E145*(1+'יעדים לפי סוכן'!$B$2)</f>
        <v>7758.75</v>
      </c>
      <c r="H145" s="21" t="n">
        <v>3233</v>
      </c>
    </row>
    <row r="146">
      <c r="A146" s="18" t="inlineStr">
        <is>
          <t>עומר</t>
        </is>
      </c>
      <c r="B146" s="19" t="inlineStr">
        <is>
          <t>144004</t>
        </is>
      </c>
      <c r="C146" s="18" t="inlineStr">
        <is>
          <t>בלו אנרגיה רגיל 250 מ"ל (כחול) BLU 1/24</t>
        </is>
      </c>
      <c r="D146" s="20" t="n">
        <v>110</v>
      </c>
      <c r="E146" s="21" t="n">
        <v>5212</v>
      </c>
      <c r="F146" s="20">
        <f>D146*(1+'יעדים לפי סוכן'!$B$2)</f>
        <v>137.5</v>
      </c>
      <c r="G146" s="21">
        <f>E146*(1+'יעדים לפי סוכן'!$B$2)</f>
        <v>6515</v>
      </c>
      <c r="H146" s="21" t="n">
        <v>2120</v>
      </c>
    </row>
    <row r="147">
      <c r="A147" s="18" t="inlineStr">
        <is>
          <t>עומר</t>
        </is>
      </c>
      <c r="B147" s="19" t="inlineStr">
        <is>
          <t>144012</t>
        </is>
      </c>
      <c r="C147" s="18" t="inlineStr">
        <is>
          <t>בלו אנרגיה מוחיטו 250 מ"ל (שחור) 1/24</t>
        </is>
      </c>
      <c r="D147" s="20" t="n">
        <v>64</v>
      </c>
      <c r="E147" s="21" t="n">
        <v>3190</v>
      </c>
      <c r="F147" s="20">
        <f>D147*(1+'יעדים לפי סוכן'!$B$2)</f>
        <v>80</v>
      </c>
      <c r="G147" s="21">
        <f>E147*(1+'יעדים לפי סוכן'!$B$2)</f>
        <v>3987.5</v>
      </c>
      <c r="H147" s="21" t="n">
        <v>929</v>
      </c>
    </row>
    <row r="148">
      <c r="A148" s="18" t="inlineStr">
        <is>
          <t>עומר</t>
        </is>
      </c>
      <c r="B148" s="19" t="inlineStr">
        <is>
          <t>144016</t>
        </is>
      </c>
      <c r="C148" s="18" t="inlineStr">
        <is>
          <t>בלו אנרגיה אבטיח 1/24 250 מ"ל (ירוק) BLU -</t>
        </is>
      </c>
      <c r="D148" s="20" t="n">
        <v>51</v>
      </c>
      <c r="E148" s="21" t="n">
        <v>2558</v>
      </c>
      <c r="F148" s="20">
        <f>D148*(1+'יעדים לפי סוכן'!$B$2)</f>
        <v>63.75</v>
      </c>
      <c r="G148" s="21">
        <f>E148*(1+'יעדים לפי סוכן'!$B$2)</f>
        <v>3197.5</v>
      </c>
      <c r="H148" s="21" t="n">
        <v>834</v>
      </c>
    </row>
    <row r="149">
      <c r="A149" s="18" t="inlineStr">
        <is>
          <t>עומר</t>
        </is>
      </c>
      <c r="B149" s="19" t="inlineStr">
        <is>
          <t>144020</t>
        </is>
      </c>
      <c r="C149" s="18" t="inlineStr">
        <is>
          <t>בלו אנרגיה אקזוטיק (ירוק בהיר) 250מ 1/24</t>
        </is>
      </c>
      <c r="D149" s="20" t="n">
        <v>20</v>
      </c>
      <c r="E149" s="21" t="n">
        <v>994</v>
      </c>
      <c r="F149" s="20">
        <f>D149*(1+'יעדים לפי סוכן'!$B$2)</f>
        <v>25</v>
      </c>
      <c r="G149" s="21">
        <f>E149*(1+'יעדים לפי סוכן'!$B$2)</f>
        <v>1242.5</v>
      </c>
      <c r="H149" s="21" t="n">
        <v>833</v>
      </c>
    </row>
    <row r="150">
      <c r="A150" s="18" t="inlineStr">
        <is>
          <t>עומר</t>
        </is>
      </c>
      <c r="B150" s="19" t="inlineStr">
        <is>
          <t>144052</t>
        </is>
      </c>
      <c r="C150" s="18" t="inlineStr">
        <is>
          <t>בלו מוחיטו אנרגיה 150 מ"ל 1/24 (שחור)</t>
        </is>
      </c>
      <c r="D150" s="20" t="n">
        <v>0</v>
      </c>
      <c r="E150" s="21" t="n">
        <v>0</v>
      </c>
      <c r="F150" s="20">
        <f>D150*(1+'יעדים לפי סוכן'!$B$2)</f>
        <v>0</v>
      </c>
      <c r="G150" s="21">
        <f>E150*(1+'יעדים לפי סוכן'!$B$2)</f>
        <v>0</v>
      </c>
      <c r="H150" s="21" t="n">
        <v>432</v>
      </c>
    </row>
    <row r="151">
      <c r="A151" s="18" t="inlineStr">
        <is>
          <t>עומר</t>
        </is>
      </c>
      <c r="B151" s="19" t="inlineStr">
        <is>
          <t>144051</t>
        </is>
      </c>
      <c r="C151" s="18" t="inlineStr">
        <is>
          <t>בלו דיי אנרגיה 150 מ"ל 1/24 (תכלת)</t>
        </is>
      </c>
      <c r="D151" s="20" t="n">
        <v>0</v>
      </c>
      <c r="E151" s="21" t="n">
        <v>0</v>
      </c>
      <c r="F151" s="20">
        <f>D151*(1+'יעדים לפי סוכן'!$B$2)</f>
        <v>0</v>
      </c>
      <c r="G151" s="21">
        <f>E151*(1+'יעדים לפי סוכן'!$B$2)</f>
        <v>0</v>
      </c>
      <c r="H151" s="21" t="n">
        <v>432</v>
      </c>
    </row>
    <row r="152">
      <c r="A152" s="18" t="inlineStr">
        <is>
          <t>עומר</t>
        </is>
      </c>
      <c r="B152" s="19" t="inlineStr">
        <is>
          <t>144010</t>
        </is>
      </c>
      <c r="C152" s="18" t="inlineStr">
        <is>
          <t>בלו אנרגיה דיי ענבים (סגול) DAY 250 מ"ל 1/24</t>
        </is>
      </c>
      <c r="D152" s="20" t="n">
        <v>0</v>
      </c>
      <c r="E152" s="21" t="n">
        <v>0</v>
      </c>
      <c r="F152" s="20">
        <f>D152*(1+'יעדים לפי סוכן'!$B$2)</f>
        <v>0</v>
      </c>
      <c r="G152" s="21">
        <f>E152*(1+'יעדים לפי סוכן'!$B$2)</f>
        <v>0</v>
      </c>
      <c r="H152" s="21" t="n">
        <v>293</v>
      </c>
    </row>
    <row r="153">
      <c r="A153" s="18" t="inlineStr">
        <is>
          <t>עומר</t>
        </is>
      </c>
      <c r="B153" s="19" t="inlineStr">
        <is>
          <t>144024</t>
        </is>
      </c>
      <c r="C153" s="18" t="inlineStr">
        <is>
          <t>בלו רגיל אנרגיה ללא סוכר 6 קלוריות 250 מ"ל (אדום) 1/24</t>
        </is>
      </c>
      <c r="D153" s="20" t="n">
        <v>0</v>
      </c>
      <c r="E153" s="21" t="n">
        <v>0</v>
      </c>
      <c r="F153" s="20">
        <f>D153*(1+'יעדים לפי סוכן'!$B$2)</f>
        <v>0</v>
      </c>
      <c r="G153" s="21">
        <f>E153*(1+'יעדים לפי סוכן'!$B$2)</f>
        <v>0</v>
      </c>
      <c r="H153" s="21" t="n">
        <v>197</v>
      </c>
    </row>
    <row r="154">
      <c r="A154" s="18" t="inlineStr">
        <is>
          <t>עומר</t>
        </is>
      </c>
      <c r="B154" s="19" t="inlineStr">
        <is>
          <t>144028</t>
        </is>
      </c>
      <c r="C154" s="18" t="inlineStr">
        <is>
          <t>בלו אנרגיה קרנברי (אדום) 250 מ"ל 1/24</t>
        </is>
      </c>
      <c r="D154" s="20" t="n">
        <v>0</v>
      </c>
      <c r="E154" s="21" t="n">
        <v>0</v>
      </c>
      <c r="F154" s="20">
        <f>D154*(1+'יעדים לפי סוכן'!$B$2)</f>
        <v>0</v>
      </c>
      <c r="G154" s="21">
        <f>E154*(1+'יעדים לפי סוכן'!$B$2)</f>
        <v>0</v>
      </c>
      <c r="H154" s="21" t="n">
        <v>341</v>
      </c>
    </row>
    <row r="155">
      <c r="A155" s="18" t="inlineStr">
        <is>
          <t>וודיע</t>
        </is>
      </c>
      <c r="B155" s="19" t="inlineStr">
        <is>
          <t>144012</t>
        </is>
      </c>
      <c r="C155" s="18" t="inlineStr">
        <is>
          <t>בלו אנרגיה מוחיטו 250 מ"ל (שחור) 1/24</t>
        </is>
      </c>
      <c r="D155" s="20" t="n">
        <v>164</v>
      </c>
      <c r="E155" s="21" t="n">
        <v>7831</v>
      </c>
      <c r="F155" s="20">
        <f>D155*(1+'יעדים לפי סוכן'!$B$2)</f>
        <v>205</v>
      </c>
      <c r="G155" s="21">
        <f>E155*(1+'יעדים לפי סוכן'!$B$2)</f>
        <v>9788.75</v>
      </c>
      <c r="H155" s="21" t="n">
        <v>3094</v>
      </c>
    </row>
    <row r="156">
      <c r="A156" s="18" t="inlineStr">
        <is>
          <t>וודיע</t>
        </is>
      </c>
      <c r="B156" s="19" t="inlineStr">
        <is>
          <t>144008</t>
        </is>
      </c>
      <c r="C156" s="18" t="inlineStr">
        <is>
          <t>בלו דיי אנרגיה (תכלת) DAY 250 מ"ל 1/24</t>
        </is>
      </c>
      <c r="D156" s="20" t="n">
        <v>109</v>
      </c>
      <c r="E156" s="21" t="n">
        <v>5217</v>
      </c>
      <c r="F156" s="20">
        <f>D156*(1+'יעדים לפי סוכן'!$B$2)</f>
        <v>136.25</v>
      </c>
      <c r="G156" s="21">
        <f>E156*(1+'יעדים לפי סוכן'!$B$2)</f>
        <v>6521.25</v>
      </c>
      <c r="H156" s="21" t="n">
        <v>1816</v>
      </c>
    </row>
    <row r="157">
      <c r="A157" s="18" t="inlineStr">
        <is>
          <t>וודיע</t>
        </is>
      </c>
      <c r="B157" s="19" t="inlineStr">
        <is>
          <t>144004</t>
        </is>
      </c>
      <c r="C157" s="18" t="inlineStr">
        <is>
          <t>בלו אנרגיה רגיל 250 מ"ל (כחול) BLU 1/24</t>
        </is>
      </c>
      <c r="D157" s="20" t="n">
        <v>80</v>
      </c>
      <c r="E157" s="21" t="n">
        <v>3647</v>
      </c>
      <c r="F157" s="20">
        <f>D157*(1+'יעדים לפי סוכן'!$B$2)</f>
        <v>100</v>
      </c>
      <c r="G157" s="21">
        <f>E157*(1+'יעדים לפי סוכן'!$B$2)</f>
        <v>4558.75</v>
      </c>
      <c r="H157" s="21" t="n">
        <v>1168</v>
      </c>
    </row>
    <row r="158">
      <c r="A158" s="18" t="inlineStr">
        <is>
          <t>וודיע</t>
        </is>
      </c>
      <c r="B158" s="19" t="inlineStr">
        <is>
          <t>144016</t>
        </is>
      </c>
      <c r="C158" s="18" t="inlineStr">
        <is>
          <t>בלו אנרגיה אבטיח 1/24 250 מ"ל (ירוק) BLU -</t>
        </is>
      </c>
      <c r="D158" s="20" t="n">
        <v>10</v>
      </c>
      <c r="E158" s="21" t="n">
        <v>475</v>
      </c>
      <c r="F158" s="20">
        <f>D158*(1+'יעדים לפי סוכן'!$B$2)</f>
        <v>12.5</v>
      </c>
      <c r="G158" s="21">
        <f>E158*(1+'יעדים לפי סוכן'!$B$2)</f>
        <v>593.75</v>
      </c>
      <c r="H158" s="21" t="n">
        <v>245</v>
      </c>
    </row>
    <row r="159">
      <c r="A159" s="18" t="inlineStr">
        <is>
          <t>וודיע</t>
        </is>
      </c>
      <c r="B159" s="19" t="inlineStr">
        <is>
          <t>144020</t>
        </is>
      </c>
      <c r="C159" s="18" t="inlineStr">
        <is>
          <t>בלו אנרגיה אקזוטיק (ירוק בהיר) 250מ 1/24</t>
        </is>
      </c>
      <c r="D159" s="20" t="n">
        <v>5</v>
      </c>
      <c r="E159" s="21" t="n">
        <v>237</v>
      </c>
      <c r="F159" s="20">
        <f>D159*(1+'יעדים לפי סוכן'!$B$2)</f>
        <v>6.25</v>
      </c>
      <c r="G159" s="21">
        <f>E159*(1+'יעדים לפי סוכן'!$B$2)</f>
        <v>296.25</v>
      </c>
      <c r="H159" s="21" t="n">
        <v>147</v>
      </c>
    </row>
    <row r="160">
      <c r="A160" s="18" t="inlineStr">
        <is>
          <t>וודיע</t>
        </is>
      </c>
      <c r="B160" s="19" t="inlineStr">
        <is>
          <t>144024</t>
        </is>
      </c>
      <c r="C160" s="18" t="inlineStr">
        <is>
          <t>בלו רגיל אנרגיה ללא סוכר 6 קלוריות 250 מ"ל (אדום) 1/24</t>
        </is>
      </c>
      <c r="D160" s="20" t="n">
        <v>0</v>
      </c>
      <c r="E160" s="21" t="n">
        <v>0</v>
      </c>
      <c r="F160" s="20">
        <f>D160*(1+'יעדים לפי סוכן'!$B$2)</f>
        <v>0</v>
      </c>
      <c r="G160" s="21">
        <f>E160*(1+'יעדים לפי סוכן'!$B$2)</f>
        <v>0</v>
      </c>
      <c r="H160" s="21" t="n">
        <v>147</v>
      </c>
    </row>
    <row r="161">
      <c r="A161" s="18" t="inlineStr">
        <is>
          <t>וודיע</t>
        </is>
      </c>
      <c r="B161" s="19" t="inlineStr">
        <is>
          <t>144005</t>
        </is>
      </c>
      <c r="C161" s="18" t="inlineStr">
        <is>
          <t>בלו מונדיאל רגיל 250 מ"ל (כחול) BLU 1/24</t>
        </is>
      </c>
      <c r="D161" s="20" t="n">
        <v>0</v>
      </c>
      <c r="E161" s="21" t="n">
        <v>0</v>
      </c>
      <c r="F161" s="20">
        <f>D161*(1+'יעדים לפי סוכן'!$B$2)</f>
        <v>0</v>
      </c>
      <c r="G161" s="21">
        <f>E161*(1+'יעדים לפי סוכן'!$B$2)</f>
        <v>0</v>
      </c>
      <c r="H161" s="21" t="n">
        <v>410</v>
      </c>
    </row>
    <row r="162">
      <c r="A162" s="18" t="inlineStr">
        <is>
          <t>וודיע</t>
        </is>
      </c>
      <c r="B162" s="19" t="inlineStr">
        <is>
          <t>144010</t>
        </is>
      </c>
      <c r="C162" s="18" t="inlineStr">
        <is>
          <t>בלו אנרגיה דיי ענבים (סגול) DAY 250 מ"ל 1/24</t>
        </is>
      </c>
      <c r="D162" s="20" t="n">
        <v>0</v>
      </c>
      <c r="E162" s="21" t="n">
        <v>0</v>
      </c>
      <c r="F162" s="20">
        <f>D162*(1+'יעדים לפי סוכן'!$B$2)</f>
        <v>0</v>
      </c>
      <c r="G162" s="21">
        <f>E162*(1+'יעדים לפי סוכן'!$B$2)</f>
        <v>0</v>
      </c>
      <c r="H162" s="21" t="n">
        <v>98</v>
      </c>
    </row>
    <row r="163">
      <c r="A163" s="18" t="inlineStr">
        <is>
          <t>וודיע</t>
        </is>
      </c>
      <c r="B163" s="19" t="inlineStr">
        <is>
          <t>144028</t>
        </is>
      </c>
      <c r="C163" s="18" t="inlineStr">
        <is>
          <t>בלו אנרגיה קרנברי (אדום) 250 מ"ל 1/24</t>
        </is>
      </c>
      <c r="D163" s="20" t="n">
        <v>0</v>
      </c>
      <c r="E163" s="21" t="n">
        <v>0</v>
      </c>
      <c r="F163" s="20">
        <f>D163*(1+'יעדים לפי סוכן'!$B$2)</f>
        <v>0</v>
      </c>
      <c r="G163" s="21">
        <f>E163*(1+'יעדים לפי סוכן'!$B$2)</f>
        <v>0</v>
      </c>
      <c r="H163" s="21" t="n">
        <v>49</v>
      </c>
    </row>
    <row r="164">
      <c r="A164" s="18" t="inlineStr">
        <is>
          <t>נדב</t>
        </is>
      </c>
      <c r="B164" s="19" t="inlineStr">
        <is>
          <t>144008</t>
        </is>
      </c>
      <c r="C164" s="18" t="inlineStr">
        <is>
          <t>בלו דיי אנרגיה (תכלת) DAY 250 מ"ל 1/24</t>
        </is>
      </c>
      <c r="D164" s="20" t="n">
        <v>112</v>
      </c>
      <c r="E164" s="21" t="n">
        <v>5602</v>
      </c>
      <c r="F164" s="20">
        <f>D164*(1+'יעדים לפי סוכן'!$B$2)</f>
        <v>140</v>
      </c>
      <c r="G164" s="21">
        <f>E164*(1+'יעדים לפי סוכן'!$B$2)</f>
        <v>7002.5</v>
      </c>
      <c r="H164" s="21" t="n">
        <v>4363</v>
      </c>
    </row>
    <row r="165">
      <c r="A165" s="18" t="inlineStr">
        <is>
          <t>נדב</t>
        </is>
      </c>
      <c r="B165" s="19" t="inlineStr">
        <is>
          <t>144004</t>
        </is>
      </c>
      <c r="C165" s="18" t="inlineStr">
        <is>
          <t>בלו אנרגיה רגיל 250 מ"ל (כחול) BLU 1/24</t>
        </is>
      </c>
      <c r="D165" s="20" t="n">
        <v>82</v>
      </c>
      <c r="E165" s="21" t="n">
        <v>3915</v>
      </c>
      <c r="F165" s="20">
        <f>D165*(1+'יעדים לפי סוכן'!$B$2)</f>
        <v>102.5</v>
      </c>
      <c r="G165" s="21">
        <f>E165*(1+'יעדים לפי סוכן'!$B$2)</f>
        <v>4893.75</v>
      </c>
      <c r="H165" s="21" t="n">
        <v>3875</v>
      </c>
    </row>
    <row r="166">
      <c r="A166" s="18" t="inlineStr">
        <is>
          <t>נדב</t>
        </is>
      </c>
      <c r="B166" s="19" t="inlineStr">
        <is>
          <t>144012</t>
        </is>
      </c>
      <c r="C166" s="18" t="inlineStr">
        <is>
          <t>בלו אנרגיה מוחיטו 250 מ"ל (שחור) 1/24</t>
        </is>
      </c>
      <c r="D166" s="20" t="n">
        <v>78</v>
      </c>
      <c r="E166" s="21" t="n">
        <v>3903</v>
      </c>
      <c r="F166" s="20">
        <f>D166*(1+'יעדים לפי סוכן'!$B$2)</f>
        <v>97.5</v>
      </c>
      <c r="G166" s="21">
        <f>E166*(1+'יעדים לפי סוכן'!$B$2)</f>
        <v>4878.75</v>
      </c>
      <c r="H166" s="21" t="n">
        <v>3227</v>
      </c>
    </row>
    <row r="167">
      <c r="A167" s="18" t="inlineStr">
        <is>
          <t>נדב</t>
        </is>
      </c>
      <c r="B167" s="19" t="inlineStr">
        <is>
          <t>144016</t>
        </is>
      </c>
      <c r="C167" s="18" t="inlineStr">
        <is>
          <t>בלו אנרגיה אבטיח 1/24 250 מ"ל (ירוק) BLU -</t>
        </is>
      </c>
      <c r="D167" s="20" t="n">
        <v>39</v>
      </c>
      <c r="E167" s="21" t="n">
        <v>1955</v>
      </c>
      <c r="F167" s="20">
        <f>D167*(1+'יעדים לפי סוכן'!$B$2)</f>
        <v>48.75</v>
      </c>
      <c r="G167" s="21">
        <f>E167*(1+'יעדים לפי סוכן'!$B$2)</f>
        <v>2443.75</v>
      </c>
      <c r="H167" s="21" t="n">
        <v>1633</v>
      </c>
    </row>
    <row r="168">
      <c r="A168" s="18" t="inlineStr">
        <is>
          <t>נדב</t>
        </is>
      </c>
      <c r="B168" s="19" t="inlineStr">
        <is>
          <t>144020</t>
        </is>
      </c>
      <c r="C168" s="18" t="inlineStr">
        <is>
          <t>בלו אנרגיה אקזוטיק (ירוק בהיר) 250מ 1/24</t>
        </is>
      </c>
      <c r="D168" s="20" t="n">
        <v>26</v>
      </c>
      <c r="E168" s="21" t="n">
        <v>1300</v>
      </c>
      <c r="F168" s="20">
        <f>D168*(1+'יעדים לפי סוכן'!$B$2)</f>
        <v>32.5</v>
      </c>
      <c r="G168" s="21">
        <f>E168*(1+'יעדים לפי סוכן'!$B$2)</f>
        <v>1625</v>
      </c>
      <c r="H168" s="21" t="n">
        <v>929</v>
      </c>
    </row>
    <row r="169">
      <c r="A169" s="18" t="inlineStr">
        <is>
          <t>נדב</t>
        </is>
      </c>
      <c r="B169" s="19" t="inlineStr">
        <is>
          <t>144052</t>
        </is>
      </c>
      <c r="C169" s="18" t="inlineStr">
        <is>
          <t>בלו מוחיטו אנרגיה 150 מ"ל 1/24 (שחור)</t>
        </is>
      </c>
      <c r="D169" s="20" t="n">
        <v>2</v>
      </c>
      <c r="E169" s="21" t="n">
        <v>115</v>
      </c>
      <c r="F169" s="20">
        <f>D169*(1+'יעדים לפי סוכן'!$B$2)</f>
        <v>2.5</v>
      </c>
      <c r="G169" s="21">
        <f>E169*(1+'יעדים לפי סוכן'!$B$2)</f>
        <v>143.75</v>
      </c>
      <c r="H169" s="21" t="n">
        <v>473</v>
      </c>
    </row>
    <row r="170">
      <c r="A170" s="18" t="inlineStr">
        <is>
          <t>נדב</t>
        </is>
      </c>
      <c r="B170" s="19" t="inlineStr">
        <is>
          <t>144051</t>
        </is>
      </c>
      <c r="C170" s="18" t="inlineStr">
        <is>
          <t>בלו דיי אנרגיה 150 מ"ל 1/24 (תכלת)</t>
        </is>
      </c>
      <c r="D170" s="20" t="n">
        <v>2</v>
      </c>
      <c r="E170" s="21" t="n">
        <v>115</v>
      </c>
      <c r="F170" s="20">
        <f>D170*(1+'יעדים לפי סוכן'!$B$2)</f>
        <v>2.5</v>
      </c>
      <c r="G170" s="21">
        <f>E170*(1+'יעדים לפי סוכן'!$B$2)</f>
        <v>143.75</v>
      </c>
      <c r="H170" s="21" t="n">
        <v>258</v>
      </c>
    </row>
    <row r="171">
      <c r="A171" s="18" t="inlineStr">
        <is>
          <t>נדב</t>
        </is>
      </c>
      <c r="B171" s="19" t="inlineStr">
        <is>
          <t>144050</t>
        </is>
      </c>
      <c r="C171" s="18" t="inlineStr">
        <is>
          <t>בלו אנרגיה רגיל 150 מ"ל 1/24 (כחול)</t>
        </is>
      </c>
      <c r="D171" s="20" t="n">
        <v>2</v>
      </c>
      <c r="E171" s="21" t="n">
        <v>76</v>
      </c>
      <c r="F171" s="20">
        <f>D171*(1+'יעדים לפי סוכן'!$B$2)</f>
        <v>2.5</v>
      </c>
      <c r="G171" s="21">
        <f>E171*(1+'יעדים לפי סוכן'!$B$2)</f>
        <v>95</v>
      </c>
      <c r="H171" s="21" t="n">
        <v>266</v>
      </c>
    </row>
    <row r="172">
      <c r="A172" s="18" t="inlineStr">
        <is>
          <t>נדב</t>
        </is>
      </c>
      <c r="B172" s="19" t="inlineStr">
        <is>
          <t>144005</t>
        </is>
      </c>
      <c r="C172" s="18" t="inlineStr">
        <is>
          <t>בלו מונדיאל רגיל 250 מ"ל (כחול) BLU 1/24</t>
        </is>
      </c>
      <c r="D172" s="20" t="n">
        <v>0</v>
      </c>
      <c r="E172" s="21" t="n">
        <v>0</v>
      </c>
      <c r="F172" s="20">
        <f>D172*(1+'יעדים לפי סוכן'!$B$2)</f>
        <v>0</v>
      </c>
      <c r="G172" s="21">
        <f>E172*(1+'יעדים לפי סוכן'!$B$2)</f>
        <v>0</v>
      </c>
      <c r="H172" s="21" t="n">
        <v>348</v>
      </c>
    </row>
    <row r="173">
      <c r="A173" s="18" t="inlineStr">
        <is>
          <t>נדב</t>
        </is>
      </c>
      <c r="B173" s="19" t="inlineStr">
        <is>
          <t>144010</t>
        </is>
      </c>
      <c r="C173" s="18" t="inlineStr">
        <is>
          <t>בלו אנרגיה דיי ענבים (סגול) DAY 250 מ"ל 1/24</t>
        </is>
      </c>
      <c r="D173" s="20" t="n">
        <v>0</v>
      </c>
      <c r="E173" s="21" t="n">
        <v>0</v>
      </c>
      <c r="F173" s="20">
        <f>D173*(1+'יעדים לפי סוכן'!$B$2)</f>
        <v>0</v>
      </c>
      <c r="G173" s="21">
        <f>E173*(1+'יעדים לפי סוכן'!$B$2)</f>
        <v>0</v>
      </c>
      <c r="H173" s="21" t="n">
        <v>634</v>
      </c>
    </row>
    <row r="174">
      <c r="A174" s="18" t="inlineStr">
        <is>
          <t>נדב</t>
        </is>
      </c>
      <c r="B174" s="19" t="inlineStr">
        <is>
          <t>144024</t>
        </is>
      </c>
      <c r="C174" s="18" t="inlineStr">
        <is>
          <t>בלו רגיל אנרגיה ללא סוכר 6 קלוריות 250 מ"ל (אדום) 1/24</t>
        </is>
      </c>
      <c r="D174" s="20" t="n">
        <v>0</v>
      </c>
      <c r="E174" s="21" t="n">
        <v>0</v>
      </c>
      <c r="F174" s="20">
        <f>D174*(1+'יעדים לפי סוכן'!$B$2)</f>
        <v>0</v>
      </c>
      <c r="G174" s="21">
        <f>E174*(1+'יעדים לפי סוכן'!$B$2)</f>
        <v>0</v>
      </c>
      <c r="H174" s="21" t="n">
        <v>50</v>
      </c>
    </row>
    <row r="175">
      <c r="A175" s="18" t="inlineStr">
        <is>
          <t>נדב</t>
        </is>
      </c>
      <c r="B175" s="19" t="inlineStr">
        <is>
          <t>144028</t>
        </is>
      </c>
      <c r="C175" s="18" t="inlineStr">
        <is>
          <t>בלו אנרגיה קרנברי (אדום) 250 מ"ל 1/24</t>
        </is>
      </c>
      <c r="D175" s="20" t="n">
        <v>0</v>
      </c>
      <c r="E175" s="21" t="n">
        <v>0</v>
      </c>
      <c r="F175" s="20">
        <f>D175*(1+'יעדים לפי סוכן'!$B$2)</f>
        <v>0</v>
      </c>
      <c r="G175" s="21">
        <f>E175*(1+'יעדים לפי סוכן'!$B$2)</f>
        <v>0</v>
      </c>
      <c r="H175" s="21" t="n">
        <v>292</v>
      </c>
    </row>
    <row r="176">
      <c r="A176" s="18" t="inlineStr">
        <is>
          <t>אילן</t>
        </is>
      </c>
      <c r="B176" s="19" t="inlineStr">
        <is>
          <t>144004</t>
        </is>
      </c>
      <c r="C176" s="18" t="inlineStr">
        <is>
          <t>בלו אנרגיה רגיל 250 מ"ל (כחול) BLU 1/24</t>
        </is>
      </c>
      <c r="D176" s="20" t="n">
        <v>116</v>
      </c>
      <c r="E176" s="21" t="n">
        <v>5147</v>
      </c>
      <c r="F176" s="20">
        <f>D176*(1+'יעדים לפי סוכן'!$B$2)</f>
        <v>145</v>
      </c>
      <c r="G176" s="21">
        <f>E176*(1+'יעדים לפי סוכן'!$B$2)</f>
        <v>6433.75</v>
      </c>
      <c r="H176" s="21" t="n">
        <v>3830</v>
      </c>
    </row>
    <row r="177">
      <c r="A177" s="18" t="inlineStr">
        <is>
          <t>אילן</t>
        </is>
      </c>
      <c r="B177" s="19" t="inlineStr">
        <is>
          <t>144008</t>
        </is>
      </c>
      <c r="C177" s="18" t="inlineStr">
        <is>
          <t>בלו דיי אנרגיה (תכלת) DAY 250 מ"ל 1/24</t>
        </is>
      </c>
      <c r="D177" s="20" t="n">
        <v>87</v>
      </c>
      <c r="E177" s="21" t="n">
        <v>4126</v>
      </c>
      <c r="F177" s="20">
        <f>D177*(1+'יעדים לפי סוכן'!$B$2)</f>
        <v>108.75</v>
      </c>
      <c r="G177" s="21">
        <f>E177*(1+'יעדים לפי סוכן'!$B$2)</f>
        <v>5157.5</v>
      </c>
      <c r="H177" s="21" t="n">
        <v>3191</v>
      </c>
    </row>
    <row r="178">
      <c r="A178" s="18" t="inlineStr">
        <is>
          <t>אילן</t>
        </is>
      </c>
      <c r="B178" s="19" t="inlineStr">
        <is>
          <t>144012</t>
        </is>
      </c>
      <c r="C178" s="18" t="inlineStr">
        <is>
          <t>בלו אנרגיה מוחיטו 250 מ"ל (שחור) 1/24</t>
        </is>
      </c>
      <c r="D178" s="20" t="n">
        <v>31</v>
      </c>
      <c r="E178" s="21" t="n">
        <v>1501</v>
      </c>
      <c r="F178" s="20">
        <f>D178*(1+'יעדים לפי סוכן'!$B$2)</f>
        <v>38.75</v>
      </c>
      <c r="G178" s="21">
        <f>E178*(1+'יעדים לפי סוכן'!$B$2)</f>
        <v>1876.25</v>
      </c>
      <c r="H178" s="21" t="n">
        <v>2059</v>
      </c>
    </row>
    <row r="179">
      <c r="A179" s="18" t="inlineStr">
        <is>
          <t>אילן</t>
        </is>
      </c>
      <c r="B179" s="19" t="inlineStr">
        <is>
          <t>144016</t>
        </is>
      </c>
      <c r="C179" s="18" t="inlineStr">
        <is>
          <t>בלו אנרגיה אבטיח 1/24 250 מ"ל (ירוק) BLU -</t>
        </is>
      </c>
      <c r="D179" s="20" t="n">
        <v>17</v>
      </c>
      <c r="E179" s="21" t="n">
        <v>802</v>
      </c>
      <c r="F179" s="20">
        <f>D179*(1+'יעדים לפי סוכן'!$B$2)</f>
        <v>21.25</v>
      </c>
      <c r="G179" s="21">
        <f>E179*(1+'יעדים לפי סוכן'!$B$2)</f>
        <v>1002.5</v>
      </c>
      <c r="H179" s="21" t="n">
        <v>588</v>
      </c>
    </row>
    <row r="180">
      <c r="A180" s="18" t="inlineStr">
        <is>
          <t>אילן</t>
        </is>
      </c>
      <c r="B180" s="19" t="inlineStr">
        <is>
          <t>144020</t>
        </is>
      </c>
      <c r="C180" s="18" t="inlineStr">
        <is>
          <t>בלו אנרגיה אקזוטיק (ירוק בהיר) 250מ 1/24</t>
        </is>
      </c>
      <c r="D180" s="20" t="n">
        <v>8</v>
      </c>
      <c r="E180" s="21" t="n">
        <v>385</v>
      </c>
      <c r="F180" s="20">
        <f>D180*(1+'יעדים לפי סוכן'!$B$2)</f>
        <v>10</v>
      </c>
      <c r="G180" s="21">
        <f>E180*(1+'יעדים לפי סוכן'!$B$2)</f>
        <v>481.25</v>
      </c>
      <c r="H180" s="21" t="n">
        <v>637</v>
      </c>
    </row>
    <row r="181">
      <c r="A181" s="18" t="inlineStr">
        <is>
          <t>אילן</t>
        </is>
      </c>
      <c r="B181" s="19" t="inlineStr">
        <is>
          <t>144028</t>
        </is>
      </c>
      <c r="C181" s="18" t="inlineStr">
        <is>
          <t>בלו אנרגיה קרנברי (אדום) 250 מ"ל 1/24</t>
        </is>
      </c>
      <c r="D181" s="20" t="n">
        <v>0</v>
      </c>
      <c r="E181" s="21" t="n">
        <v>0</v>
      </c>
      <c r="F181" s="20">
        <f>D181*(1+'יעדים לפי סוכן'!$B$2)</f>
        <v>0</v>
      </c>
      <c r="G181" s="21">
        <f>E181*(1+'יעדים לפי סוכן'!$B$2)</f>
        <v>0</v>
      </c>
      <c r="H181" s="21" t="n">
        <v>965</v>
      </c>
    </row>
    <row r="182">
      <c r="A182" s="18" t="inlineStr">
        <is>
          <t>אילן</t>
        </is>
      </c>
      <c r="B182" s="19" t="inlineStr">
        <is>
          <t>144051</t>
        </is>
      </c>
      <c r="C182" s="18" t="inlineStr">
        <is>
          <t>בלו דיי אנרגיה 150 מ"ל 1/24 (תכלת)</t>
        </is>
      </c>
      <c r="D182" s="20" t="n">
        <v>0</v>
      </c>
      <c r="E182" s="21" t="n">
        <v>0</v>
      </c>
      <c r="F182" s="20">
        <f>D182*(1+'יעדים לפי סוכן'!$B$2)</f>
        <v>0</v>
      </c>
      <c r="G182" s="21">
        <f>E182*(1+'יעדים לפי סוכן'!$B$2)</f>
        <v>0</v>
      </c>
      <c r="H182" s="21" t="n">
        <v>735</v>
      </c>
    </row>
    <row r="183">
      <c r="A183" s="18" t="inlineStr">
        <is>
          <t>אילן</t>
        </is>
      </c>
      <c r="B183" s="19" t="inlineStr">
        <is>
          <t>144010</t>
        </is>
      </c>
      <c r="C183" s="18" t="inlineStr">
        <is>
          <t>בלו אנרגיה דיי ענבים (סגול) DAY 250 מ"ל 1/24</t>
        </is>
      </c>
      <c r="D183" s="20" t="n">
        <v>0</v>
      </c>
      <c r="E183" s="21" t="n">
        <v>0</v>
      </c>
      <c r="F183" s="20">
        <f>D183*(1+'יעדים לפי סוכן'!$B$2)</f>
        <v>0</v>
      </c>
      <c r="G183" s="21">
        <f>E183*(1+'יעדים לפי סוכן'!$B$2)</f>
        <v>0</v>
      </c>
      <c r="H183" s="21" t="n">
        <v>784</v>
      </c>
    </row>
    <row r="184">
      <c r="A184" s="18" t="inlineStr">
        <is>
          <t>אילן</t>
        </is>
      </c>
      <c r="B184" s="19" t="inlineStr">
        <is>
          <t>144024</t>
        </is>
      </c>
      <c r="C184" s="18" t="inlineStr">
        <is>
          <t>בלו רגיל אנרגיה ללא סוכר 6 קלוריות 250 מ"ל (אדום) 1/24</t>
        </is>
      </c>
      <c r="D184" s="20" t="n">
        <v>0</v>
      </c>
      <c r="E184" s="21" t="n">
        <v>0</v>
      </c>
      <c r="F184" s="20">
        <f>D184*(1+'יעדים לפי סוכן'!$B$2)</f>
        <v>0</v>
      </c>
      <c r="G184" s="21">
        <f>E184*(1+'יעדים לפי סוכן'!$B$2)</f>
        <v>0</v>
      </c>
      <c r="H184" s="21" t="n">
        <v>245</v>
      </c>
    </row>
    <row r="185">
      <c r="A185" s="18" t="inlineStr">
        <is>
          <t>אילן</t>
        </is>
      </c>
      <c r="B185" s="19" t="inlineStr">
        <is>
          <t>144052</t>
        </is>
      </c>
      <c r="C185" s="18" t="inlineStr">
        <is>
          <t>בלו מוחיטו אנרגיה 150 מ"ל 1/24 (שחור)</t>
        </is>
      </c>
      <c r="D185" s="20" t="n">
        <v>0</v>
      </c>
      <c r="E185" s="21" t="n">
        <v>0</v>
      </c>
      <c r="F185" s="20">
        <f>D185*(1+'יעדים לפי סוכן'!$B$2)</f>
        <v>0</v>
      </c>
      <c r="G185" s="21">
        <f>E185*(1+'יעדים לפי סוכן'!$B$2)</f>
        <v>0</v>
      </c>
      <c r="H185" s="21" t="n">
        <v>735</v>
      </c>
    </row>
    <row r="186">
      <c r="A186" s="18" t="inlineStr">
        <is>
          <t>אילן</t>
        </is>
      </c>
      <c r="B186" s="19" t="inlineStr">
        <is>
          <t>144050</t>
        </is>
      </c>
      <c r="C186" s="18" t="inlineStr">
        <is>
          <t>בלו אנרגיה רגיל 150 מ"ל 1/24 (כחול)</t>
        </is>
      </c>
      <c r="D186" s="20" t="n">
        <v>0</v>
      </c>
      <c r="E186" s="21" t="n">
        <v>0</v>
      </c>
      <c r="F186" s="20">
        <f>D186*(1+'יעדים לפי סוכן'!$B$2)</f>
        <v>0</v>
      </c>
      <c r="G186" s="21">
        <f>E186*(1+'יעדים לפי סוכן'!$B$2)</f>
        <v>0</v>
      </c>
      <c r="H186" s="21" t="n">
        <v>566</v>
      </c>
    </row>
    <row r="187">
      <c r="A187" s="18" t="inlineStr">
        <is>
          <t>עידן</t>
        </is>
      </c>
      <c r="B187" s="19" t="inlineStr">
        <is>
          <t>144004</t>
        </is>
      </c>
      <c r="C187" s="18" t="inlineStr">
        <is>
          <t>בלו אנרגיה רגיל 250 מ"ל (כחול) BLU 1/24</t>
        </is>
      </c>
      <c r="D187" s="20" t="n">
        <v>87</v>
      </c>
      <c r="E187" s="21" t="n">
        <v>4092</v>
      </c>
      <c r="F187" s="20">
        <f>D187*(1+'יעדים לפי סוכן'!$B$2)</f>
        <v>108.75</v>
      </c>
      <c r="G187" s="21">
        <f>E187*(1+'יעדים לפי סוכן'!$B$2)</f>
        <v>5115</v>
      </c>
      <c r="H187" s="21" t="n">
        <v>925</v>
      </c>
    </row>
    <row r="188">
      <c r="A188" s="18" t="inlineStr">
        <is>
          <t>עידן</t>
        </is>
      </c>
      <c r="B188" s="19" t="inlineStr">
        <is>
          <t>144008</t>
        </is>
      </c>
      <c r="C188" s="18" t="inlineStr">
        <is>
          <t>בלו דיי אנרגיה (תכלת) DAY 250 מ"ל 1/24</t>
        </is>
      </c>
      <c r="D188" s="20" t="n">
        <v>50</v>
      </c>
      <c r="E188" s="21" t="n">
        <v>2415</v>
      </c>
      <c r="F188" s="20">
        <f>D188*(1+'יעדים לפי סוכן'!$B$2)</f>
        <v>62.5</v>
      </c>
      <c r="G188" s="21">
        <f>E188*(1+'יעדים לפי סוכן'!$B$2)</f>
        <v>3018.75</v>
      </c>
      <c r="H188" s="21" t="n">
        <v>821</v>
      </c>
    </row>
    <row r="189">
      <c r="A189" s="18" t="inlineStr">
        <is>
          <t>עידן</t>
        </is>
      </c>
      <c r="B189" s="19" t="inlineStr">
        <is>
          <t>144012</t>
        </is>
      </c>
      <c r="C189" s="18" t="inlineStr">
        <is>
          <t>בלו אנרגיה מוחיטו 250 מ"ל (שחור) 1/24</t>
        </is>
      </c>
      <c r="D189" s="20" t="n">
        <v>37</v>
      </c>
      <c r="E189" s="21" t="n">
        <v>1702</v>
      </c>
      <c r="F189" s="20">
        <f>D189*(1+'יעדים לפי סוכן'!$B$2)</f>
        <v>46.25</v>
      </c>
      <c r="G189" s="21">
        <f>E189*(1+'יעדים לפי סוכן'!$B$2)</f>
        <v>2127.5</v>
      </c>
      <c r="H189" s="21" t="n">
        <v>676</v>
      </c>
    </row>
    <row r="190">
      <c r="A190" s="18" t="inlineStr">
        <is>
          <t>עידן</t>
        </is>
      </c>
      <c r="B190" s="19" t="inlineStr">
        <is>
          <t>144016</t>
        </is>
      </c>
      <c r="C190" s="18" t="inlineStr">
        <is>
          <t>בלו אנרגיה אבטיח 1/24 250 מ"ל (ירוק) BLU -</t>
        </is>
      </c>
      <c r="D190" s="20" t="n">
        <v>7</v>
      </c>
      <c r="E190" s="21" t="n">
        <v>340</v>
      </c>
      <c r="F190" s="20">
        <f>D190*(1+'יעדים לפי סוכן'!$B$2)</f>
        <v>8.75</v>
      </c>
      <c r="G190" s="21">
        <f>E190*(1+'יעדים לפי סוכן'!$B$2)</f>
        <v>425</v>
      </c>
      <c r="H190" s="21" t="n">
        <v>703</v>
      </c>
    </row>
    <row r="191">
      <c r="A191" s="18" t="inlineStr">
        <is>
          <t>עידן</t>
        </is>
      </c>
      <c r="B191" s="19" t="inlineStr">
        <is>
          <t>144020</t>
        </is>
      </c>
      <c r="C191" s="18" t="inlineStr">
        <is>
          <t>בלו אנרגיה אקזוטיק (ירוק בהיר) 250מ 1/24</t>
        </is>
      </c>
      <c r="D191" s="20" t="n">
        <v>4</v>
      </c>
      <c r="E191" s="21" t="n">
        <v>195</v>
      </c>
      <c r="F191" s="20">
        <f>D191*(1+'יעדים לפי סוכן'!$B$2)</f>
        <v>5</v>
      </c>
      <c r="G191" s="21">
        <f>E191*(1+'יעדים לפי סוכן'!$B$2)</f>
        <v>243.75</v>
      </c>
      <c r="H191" s="21" t="n">
        <v>427</v>
      </c>
    </row>
    <row r="192">
      <c r="A192" s="18" t="inlineStr">
        <is>
          <t>עידן</t>
        </is>
      </c>
      <c r="B192" s="19" t="inlineStr">
        <is>
          <t>144010</t>
        </is>
      </c>
      <c r="C192" s="18" t="inlineStr">
        <is>
          <t>בלו אנרגיה דיי ענבים (סגול) DAY 250 מ"ל 1/24</t>
        </is>
      </c>
      <c r="D192" s="20" t="n">
        <v>0</v>
      </c>
      <c r="E192" s="21" t="n">
        <v>0</v>
      </c>
      <c r="F192" s="20">
        <f>D192*(1+'יעדים לפי סוכן'!$B$2)</f>
        <v>0</v>
      </c>
      <c r="G192" s="21">
        <f>E192*(1+'יעדים לפי סוכן'!$B$2)</f>
        <v>0</v>
      </c>
      <c r="H192" s="21" t="n">
        <v>378</v>
      </c>
    </row>
    <row r="193">
      <c r="A193" s="18" t="inlineStr">
        <is>
          <t>עידן</t>
        </is>
      </c>
      <c r="B193" s="19" t="inlineStr">
        <is>
          <t>144024</t>
        </is>
      </c>
      <c r="C193" s="18" t="inlineStr">
        <is>
          <t>בלו רגיל אנרגיה ללא סוכר 6 קלוריות 250 מ"ל (אדום) 1/24</t>
        </is>
      </c>
      <c r="D193" s="20" t="n">
        <v>0</v>
      </c>
      <c r="E193" s="21" t="n">
        <v>0</v>
      </c>
      <c r="F193" s="20">
        <f>D193*(1+'יעדים לפי סוכן'!$B$2)</f>
        <v>0</v>
      </c>
      <c r="G193" s="21">
        <f>E193*(1+'יעדים לפי סוכן'!$B$2)</f>
        <v>0</v>
      </c>
      <c r="H193" s="21" t="n">
        <v>196</v>
      </c>
    </row>
    <row r="194">
      <c r="A194" s="18" t="inlineStr">
        <is>
          <t>עידן</t>
        </is>
      </c>
      <c r="B194" s="19" t="inlineStr">
        <is>
          <t>144050</t>
        </is>
      </c>
      <c r="C194" s="18" t="inlineStr">
        <is>
          <t>בלו אנרגיה רגיל 150 מ"ל 1/24 (כחול)</t>
        </is>
      </c>
      <c r="D194" s="20" t="n">
        <v>0</v>
      </c>
      <c r="E194" s="21" t="n">
        <v>0</v>
      </c>
      <c r="F194" s="20">
        <f>D194*(1+'יעדים לפי סוכן'!$B$2)</f>
        <v>0</v>
      </c>
      <c r="G194" s="21">
        <f>E194*(1+'יעדים לפי סוכן'!$B$2)</f>
        <v>0</v>
      </c>
      <c r="H194" s="21" t="n">
        <v>38</v>
      </c>
    </row>
    <row r="195">
      <c r="A195" s="18" t="inlineStr">
        <is>
          <t>עידן</t>
        </is>
      </c>
      <c r="B195" s="19" t="inlineStr">
        <is>
          <t>144028</t>
        </is>
      </c>
      <c r="C195" s="18" t="inlineStr">
        <is>
          <t>בלו אנרגיה קרנברי (אדום) 250 מ"ל 1/24</t>
        </is>
      </c>
      <c r="D195" s="20" t="n">
        <v>0</v>
      </c>
      <c r="E195" s="21" t="n">
        <v>0</v>
      </c>
      <c r="F195" s="20">
        <f>D195*(1+'יעדים לפי סוכן'!$B$2)</f>
        <v>0</v>
      </c>
      <c r="G195" s="21">
        <f>E195*(1+'יעדים לפי סוכן'!$B$2)</f>
        <v>0</v>
      </c>
      <c r="H195" s="21" t="n">
        <v>48</v>
      </c>
    </row>
    <row r="196">
      <c r="A196" s="18" t="inlineStr">
        <is>
          <t>עידן</t>
        </is>
      </c>
      <c r="B196" s="19" t="inlineStr">
        <is>
          <t>144052</t>
        </is>
      </c>
      <c r="C196" s="18" t="inlineStr">
        <is>
          <t>בלו מוחיטו אנרגיה 150 מ"ל 1/24 (שחור)</t>
        </is>
      </c>
      <c r="D196" s="20" t="n">
        <v>0</v>
      </c>
      <c r="E196" s="21" t="n">
        <v>0</v>
      </c>
      <c r="F196" s="20">
        <f>D196*(1+'יעדים לפי סוכן'!$B$2)</f>
        <v>0</v>
      </c>
      <c r="G196" s="21">
        <f>E196*(1+'יעדים לפי סוכן'!$B$2)</f>
        <v>0</v>
      </c>
      <c r="H196" s="21" t="n">
        <v>130</v>
      </c>
    </row>
    <row r="197">
      <c r="A197" s="18" t="inlineStr">
        <is>
          <t>ליעד</t>
        </is>
      </c>
      <c r="B197" s="19" t="inlineStr">
        <is>
          <t>144004</t>
        </is>
      </c>
      <c r="C197" s="18" t="inlineStr">
        <is>
          <t>בלו אנרגיה רגיל 250 מ"ל (כחול) BLU 1/24</t>
        </is>
      </c>
      <c r="D197" s="20" t="n">
        <v>48</v>
      </c>
      <c r="E197" s="21" t="n">
        <v>2357</v>
      </c>
      <c r="F197" s="20">
        <f>D197*(1+'יעדים לפי סוכן'!$B$2)</f>
        <v>60</v>
      </c>
      <c r="G197" s="21">
        <f>E197*(1+'יעדים לפי סוכן'!$B$2)</f>
        <v>2946.25</v>
      </c>
      <c r="H197" s="21" t="n">
        <v>0</v>
      </c>
    </row>
    <row r="198">
      <c r="A198" s="18" t="inlineStr">
        <is>
          <t>ליעד</t>
        </is>
      </c>
      <c r="B198" s="19" t="inlineStr">
        <is>
          <t>144008</t>
        </is>
      </c>
      <c r="C198" s="18" t="inlineStr">
        <is>
          <t>בלו דיי אנרגיה (תכלת) DAY 250 מ"ל 1/24</t>
        </is>
      </c>
      <c r="D198" s="20" t="n">
        <v>37</v>
      </c>
      <c r="E198" s="21" t="n">
        <v>1869</v>
      </c>
      <c r="F198" s="20">
        <f>D198*(1+'יעדים לפי סוכן'!$B$2)</f>
        <v>46.25</v>
      </c>
      <c r="G198" s="21">
        <f>E198*(1+'יעדים לפי סוכן'!$B$2)</f>
        <v>2336.25</v>
      </c>
      <c r="H198" s="21" t="n">
        <v>1125</v>
      </c>
    </row>
    <row r="199">
      <c r="A199" s="18" t="inlineStr">
        <is>
          <t>ליעד</t>
        </is>
      </c>
      <c r="B199" s="19" t="inlineStr">
        <is>
          <t>144012</t>
        </is>
      </c>
      <c r="C199" s="18" t="inlineStr">
        <is>
          <t>בלו אנרגיה מוחיטו 250 מ"ל (שחור) 1/24</t>
        </is>
      </c>
      <c r="D199" s="20" t="n">
        <v>19</v>
      </c>
      <c r="E199" s="21" t="n">
        <v>964</v>
      </c>
      <c r="F199" s="20">
        <f>D199*(1+'יעדים לפי סוכן'!$B$2)</f>
        <v>23.75</v>
      </c>
      <c r="G199" s="21">
        <f>E199*(1+'יעדים לפי סוכן'!$B$2)</f>
        <v>1205</v>
      </c>
      <c r="H199" s="21" t="n">
        <v>308</v>
      </c>
    </row>
    <row r="200">
      <c r="A200" s="18" t="inlineStr">
        <is>
          <t>ליעד</t>
        </is>
      </c>
      <c r="B200" s="19" t="inlineStr">
        <is>
          <t>144016</t>
        </is>
      </c>
      <c r="C200" s="18" t="inlineStr">
        <is>
          <t>בלו אנרגיה אבטיח 1/24 250 מ"ל (ירוק) BLU -</t>
        </is>
      </c>
      <c r="D200" s="20" t="n">
        <v>9</v>
      </c>
      <c r="E200" s="21" t="n">
        <v>458</v>
      </c>
      <c r="F200" s="20">
        <f>D200*(1+'יעדים לפי סוכן'!$B$2)</f>
        <v>11.25</v>
      </c>
      <c r="G200" s="21">
        <f>E200*(1+'יעדים לפי סוכן'!$B$2)</f>
        <v>572.5</v>
      </c>
      <c r="H200" s="21" t="n">
        <v>360</v>
      </c>
    </row>
    <row r="201">
      <c r="A201" s="18" t="inlineStr">
        <is>
          <t>ליעד</t>
        </is>
      </c>
      <c r="B201" s="19" t="inlineStr">
        <is>
          <t>144050</t>
        </is>
      </c>
      <c r="C201" s="18" t="inlineStr">
        <is>
          <t>בלו אנרגיה רגיל 150 מ"ל 1/24 (כחול)</t>
        </is>
      </c>
      <c r="D201" s="20" t="n">
        <v>10</v>
      </c>
      <c r="E201" s="21" t="n">
        <v>363</v>
      </c>
      <c r="F201" s="20">
        <f>D201*(1+'יעדים לפי סוכן'!$B$2)</f>
        <v>12.5</v>
      </c>
      <c r="G201" s="21">
        <f>E201*(1+'יעדים לפי סוכן'!$B$2)</f>
        <v>453.75</v>
      </c>
      <c r="H201" s="21" t="n">
        <v>953</v>
      </c>
    </row>
    <row r="202">
      <c r="A202" s="18" t="inlineStr">
        <is>
          <t>ליעד</t>
        </is>
      </c>
      <c r="B202" s="19" t="inlineStr">
        <is>
          <t>144020</t>
        </is>
      </c>
      <c r="C202" s="18" t="inlineStr">
        <is>
          <t>בלו אנרגיה אקזוטיק (ירוק בהיר) 250מ 1/24</t>
        </is>
      </c>
      <c r="D202" s="20" t="n">
        <v>3</v>
      </c>
      <c r="E202" s="21" t="n">
        <v>154</v>
      </c>
      <c r="F202" s="20">
        <f>D202*(1+'יעדים לפי סוכן'!$B$2)</f>
        <v>3.75</v>
      </c>
      <c r="G202" s="21">
        <f>E202*(1+'יעדים לפי סוכן'!$B$2)</f>
        <v>192.5</v>
      </c>
      <c r="H202" s="21" t="n">
        <v>309</v>
      </c>
    </row>
    <row r="203">
      <c r="A203" s="18" t="inlineStr">
        <is>
          <t>ליעד</t>
        </is>
      </c>
      <c r="B203" s="19" t="inlineStr">
        <is>
          <t>144005</t>
        </is>
      </c>
      <c r="C203" s="18" t="inlineStr">
        <is>
          <t>בלו מונדיאל רגיל 250 מ"ל (כחול) BLU 1/24</t>
        </is>
      </c>
      <c r="D203" s="20" t="n">
        <v>0</v>
      </c>
      <c r="E203" s="21" t="n">
        <v>0</v>
      </c>
      <c r="F203" s="20">
        <f>D203*(1+'יעדים לפי סוכן'!$B$2)</f>
        <v>0</v>
      </c>
      <c r="G203" s="21">
        <f>E203*(1+'יעדים לפי סוכן'!$B$2)</f>
        <v>0</v>
      </c>
      <c r="H203" s="21" t="n">
        <v>1807</v>
      </c>
    </row>
    <row r="204">
      <c r="A204" s="18" t="inlineStr">
        <is>
          <t>ליעד</t>
        </is>
      </c>
      <c r="B204" s="19" t="inlineStr">
        <is>
          <t>144052</t>
        </is>
      </c>
      <c r="C204" s="18" t="inlineStr">
        <is>
          <t>בלו מוחיטו אנרגיה 150 מ"ל 1/24 (שחור)</t>
        </is>
      </c>
      <c r="D204" s="20" t="n">
        <v>0</v>
      </c>
      <c r="E204" s="21" t="n">
        <v>0</v>
      </c>
      <c r="F204" s="20">
        <f>D204*(1+'יעדים לפי סוכן'!$B$2)</f>
        <v>0</v>
      </c>
      <c r="G204" s="21">
        <f>E204*(1+'יעדים לפי סוכן'!$B$2)</f>
        <v>0</v>
      </c>
      <c r="H204" s="21" t="n">
        <v>929</v>
      </c>
    </row>
    <row r="205">
      <c r="A205" s="18" t="inlineStr">
        <is>
          <t>ליעד</t>
        </is>
      </c>
      <c r="B205" s="19" t="inlineStr">
        <is>
          <t>144051</t>
        </is>
      </c>
      <c r="C205" s="18" t="inlineStr">
        <is>
          <t>בלו דיי אנרגיה 150 מ"ל 1/24 (תכלת)</t>
        </is>
      </c>
      <c r="D205" s="20" t="n">
        <v>0</v>
      </c>
      <c r="E205" s="21" t="n">
        <v>0</v>
      </c>
      <c r="F205" s="20">
        <f>D205*(1+'יעדים לפי סוכן'!$B$2)</f>
        <v>0</v>
      </c>
      <c r="G205" s="21">
        <f>E205*(1+'יעדים לפי סוכן'!$B$2)</f>
        <v>0</v>
      </c>
      <c r="H205" s="21" t="n">
        <v>890</v>
      </c>
    </row>
    <row r="206">
      <c r="A206" s="18" t="inlineStr">
        <is>
          <t>ליעד</t>
        </is>
      </c>
      <c r="B206" s="19" t="inlineStr">
        <is>
          <t>144010</t>
        </is>
      </c>
      <c r="C206" s="18" t="inlineStr">
        <is>
          <t>בלו אנרגיה דיי ענבים (סגול) DAY 250 מ"ל 1/24</t>
        </is>
      </c>
      <c r="D206" s="20" t="n">
        <v>0</v>
      </c>
      <c r="E206" s="21" t="n">
        <v>0</v>
      </c>
      <c r="F206" s="20">
        <f>D206*(1+'יעדים לפי סוכן'!$B$2)</f>
        <v>0</v>
      </c>
      <c r="G206" s="21">
        <f>E206*(1+'יעדים לפי סוכן'!$B$2)</f>
        <v>0</v>
      </c>
      <c r="H206" s="21" t="n">
        <v>414</v>
      </c>
    </row>
    <row r="207">
      <c r="A207" s="18" t="inlineStr">
        <is>
          <t>ליעד</t>
        </is>
      </c>
      <c r="B207" s="19" t="inlineStr">
        <is>
          <t>144028</t>
        </is>
      </c>
      <c r="C207" s="18" t="inlineStr">
        <is>
          <t>בלו אנרגיה קרנברי (אדום) 250 מ"ל 1/24</t>
        </is>
      </c>
      <c r="D207" s="20" t="n">
        <v>0</v>
      </c>
      <c r="E207" s="21" t="n">
        <v>0</v>
      </c>
      <c r="F207" s="20">
        <f>D207*(1+'יעדים לפי סוכן'!$B$2)</f>
        <v>0</v>
      </c>
      <c r="G207" s="21">
        <f>E207*(1+'יעדים לפי סוכן'!$B$2)</f>
        <v>0</v>
      </c>
      <c r="H207" s="21" t="n">
        <v>206</v>
      </c>
    </row>
    <row r="208">
      <c r="A208" s="18" t="inlineStr">
        <is>
          <t>37</t>
        </is>
      </c>
      <c r="B208" s="19" t="inlineStr">
        <is>
          <t>144004</t>
        </is>
      </c>
      <c r="C208" s="18" t="inlineStr">
        <is>
          <t>בלו אנרגיה רגיל 250 מ"ל (כחול) BLU 1/24</t>
        </is>
      </c>
      <c r="D208" s="20" t="n">
        <v>59</v>
      </c>
      <c r="E208" s="21" t="n">
        <v>2623</v>
      </c>
      <c r="F208" s="20">
        <f>D208*(1+'יעדים לפי סוכן'!$B$2)</f>
        <v>73.75</v>
      </c>
      <c r="G208" s="21">
        <f>E208*(1+'יעדים לפי סוכן'!$B$2)</f>
        <v>3278.75</v>
      </c>
      <c r="H208" s="21" t="n">
        <v>660</v>
      </c>
    </row>
    <row r="209">
      <c r="A209" s="18" t="inlineStr">
        <is>
          <t>37</t>
        </is>
      </c>
      <c r="B209" s="19" t="inlineStr">
        <is>
          <t>144008</t>
        </is>
      </c>
      <c r="C209" s="18" t="inlineStr">
        <is>
          <t>בלו דיי אנרגיה (תכלת) DAY 250 מ"ל 1/24</t>
        </is>
      </c>
      <c r="D209" s="20" t="n">
        <v>33</v>
      </c>
      <c r="E209" s="21" t="n">
        <v>1569</v>
      </c>
      <c r="F209" s="20">
        <f>D209*(1+'יעדים לפי סוכן'!$B$2)</f>
        <v>41.25</v>
      </c>
      <c r="G209" s="21">
        <f>E209*(1+'יעדים לפי סוכן'!$B$2)</f>
        <v>1961.25</v>
      </c>
      <c r="H209" s="21" t="n">
        <v>1226</v>
      </c>
    </row>
    <row r="210">
      <c r="A210" s="18" t="inlineStr">
        <is>
          <t>37</t>
        </is>
      </c>
      <c r="B210" s="19" t="inlineStr">
        <is>
          <t>144012</t>
        </is>
      </c>
      <c r="C210" s="18" t="inlineStr">
        <is>
          <t>בלו אנרגיה מוחיטו 250 מ"ל (שחור) 1/24</t>
        </is>
      </c>
      <c r="D210" s="20" t="n">
        <v>17</v>
      </c>
      <c r="E210" s="21" t="n">
        <v>810</v>
      </c>
      <c r="F210" s="20">
        <f>D210*(1+'יעדים לפי סוכן'!$B$2)</f>
        <v>21.25</v>
      </c>
      <c r="G210" s="21">
        <f>E210*(1+'יעדים לפי סוכן'!$B$2)</f>
        <v>1012.5</v>
      </c>
      <c r="H210" s="21" t="n">
        <v>738</v>
      </c>
    </row>
    <row r="211">
      <c r="A211" s="18" t="inlineStr">
        <is>
          <t>37</t>
        </is>
      </c>
      <c r="B211" s="19" t="inlineStr">
        <is>
          <t>144016</t>
        </is>
      </c>
      <c r="C211" s="18" t="inlineStr">
        <is>
          <t>בלו אנרגיה אבטיח 1/24 250 מ"ל (ירוק) BLU -</t>
        </is>
      </c>
      <c r="D211" s="20" t="n">
        <v>12</v>
      </c>
      <c r="E211" s="21" t="n">
        <v>567</v>
      </c>
      <c r="F211" s="20">
        <f>D211*(1+'יעדים לפי סוכן'!$B$2)</f>
        <v>15</v>
      </c>
      <c r="G211" s="21">
        <f>E211*(1+'יעדים לפי סוכן'!$B$2)</f>
        <v>708.75</v>
      </c>
      <c r="H211" s="21" t="n">
        <v>540</v>
      </c>
    </row>
    <row r="212">
      <c r="A212" s="18" t="inlineStr">
        <is>
          <t>37</t>
        </is>
      </c>
      <c r="B212" s="19" t="inlineStr">
        <is>
          <t>144020</t>
        </is>
      </c>
      <c r="C212" s="18" t="inlineStr">
        <is>
          <t>בלו אנרגיה אקזוטיק (ירוק בהיר) 250מ 1/24</t>
        </is>
      </c>
      <c r="D212" s="20" t="n">
        <v>5</v>
      </c>
      <c r="E212" s="21" t="n">
        <v>243</v>
      </c>
      <c r="F212" s="20">
        <f>D212*(1+'יעדים לפי סוכן'!$B$2)</f>
        <v>6.25</v>
      </c>
      <c r="G212" s="21">
        <f>E212*(1+'יעדים לפי סוכן'!$B$2)</f>
        <v>303.75</v>
      </c>
      <c r="H212" s="21" t="n">
        <v>49</v>
      </c>
    </row>
    <row r="213">
      <c r="A213" s="18" t="inlineStr">
        <is>
          <t>37</t>
        </is>
      </c>
      <c r="B213" s="19" t="inlineStr">
        <is>
          <t>144028</t>
        </is>
      </c>
      <c r="C213" s="18" t="inlineStr">
        <is>
          <t>בלו אנרגיה קרנברי (אדום) 250 מ"ל 1/24</t>
        </is>
      </c>
      <c r="D213" s="20" t="n">
        <v>0</v>
      </c>
      <c r="E213" s="21" t="n">
        <v>0</v>
      </c>
      <c r="F213" s="20">
        <f>D213*(1+'יעדים לפי סוכן'!$B$2)</f>
        <v>0</v>
      </c>
      <c r="G213" s="21">
        <f>E213*(1+'יעדים לפי סוכן'!$B$2)</f>
        <v>0</v>
      </c>
      <c r="H213" s="21" t="n">
        <v>49</v>
      </c>
    </row>
    <row r="214">
      <c r="A214" s="18" t="inlineStr">
        <is>
          <t>37</t>
        </is>
      </c>
      <c r="B214" s="19" t="inlineStr">
        <is>
          <t>144024</t>
        </is>
      </c>
      <c r="C214" s="18" t="inlineStr">
        <is>
          <t>בלו רגיל אנרגיה ללא סוכר 6 קלוריות 250 מ"ל (אדום) 1/24</t>
        </is>
      </c>
      <c r="D214" s="20" t="n">
        <v>0</v>
      </c>
      <c r="E214" s="21" t="n">
        <v>0</v>
      </c>
      <c r="F214" s="20">
        <f>D214*(1+'יעדים לפי סוכן'!$B$2)</f>
        <v>0</v>
      </c>
      <c r="G214" s="21">
        <f>E214*(1+'יעדים לפי סוכן'!$B$2)</f>
        <v>0</v>
      </c>
      <c r="H214" s="21" t="n">
        <v>147</v>
      </c>
    </row>
    <row r="215">
      <c r="A215" s="18" t="inlineStr">
        <is>
          <t>36</t>
        </is>
      </c>
      <c r="B215" s="19" t="inlineStr">
        <is>
          <t>144004</t>
        </is>
      </c>
      <c r="C215" s="18" t="inlineStr">
        <is>
          <t>בלו אנרגיה רגיל 250 מ"ל (כחול) BLU 1/24</t>
        </is>
      </c>
      <c r="D215" s="20" t="n">
        <v>42</v>
      </c>
      <c r="E215" s="21" t="n">
        <v>2010</v>
      </c>
      <c r="F215" s="20">
        <f>D215*(1+'יעדים לפי סוכן'!$B$2)</f>
        <v>52.5</v>
      </c>
      <c r="G215" s="21">
        <f>E215*(1+'יעדים לפי סוכן'!$B$2)</f>
        <v>2512.5</v>
      </c>
      <c r="H215" s="21" t="n">
        <v>934</v>
      </c>
    </row>
    <row r="216">
      <c r="A216" s="18" t="inlineStr">
        <is>
          <t>36</t>
        </is>
      </c>
      <c r="B216" s="19" t="inlineStr">
        <is>
          <t>144008</t>
        </is>
      </c>
      <c r="C216" s="18" t="inlineStr">
        <is>
          <t>בלו דיי אנרגיה (תכלת) DAY 250 מ"ל 1/24</t>
        </is>
      </c>
      <c r="D216" s="20" t="n">
        <v>35</v>
      </c>
      <c r="E216" s="21" t="n">
        <v>1751</v>
      </c>
      <c r="F216" s="20">
        <f>D216*(1+'יעדים לפי סוכן'!$B$2)</f>
        <v>43.75</v>
      </c>
      <c r="G216" s="21">
        <f>E216*(1+'יעדים לפי סוכן'!$B$2)</f>
        <v>2188.75</v>
      </c>
      <c r="H216" s="21" t="n">
        <v>748</v>
      </c>
    </row>
    <row r="217">
      <c r="A217" s="18" t="inlineStr">
        <is>
          <t>36</t>
        </is>
      </c>
      <c r="B217" s="19" t="inlineStr">
        <is>
          <t>144016</t>
        </is>
      </c>
      <c r="C217" s="18" t="inlineStr">
        <is>
          <t>בלו אנרגיה אבטיח 1/24 250 מ"ל (ירוק) BLU -</t>
        </is>
      </c>
      <c r="D217" s="20" t="n">
        <v>17</v>
      </c>
      <c r="E217" s="21" t="n">
        <v>847</v>
      </c>
      <c r="F217" s="20">
        <f>D217*(1+'יעדים לפי סוכן'!$B$2)</f>
        <v>21.25</v>
      </c>
      <c r="G217" s="21">
        <f>E217*(1+'יעדים לפי סוכן'!$B$2)</f>
        <v>1058.75</v>
      </c>
      <c r="H217" s="21" t="n">
        <v>255</v>
      </c>
    </row>
    <row r="218">
      <c r="A218" s="18" t="inlineStr">
        <is>
          <t>36</t>
        </is>
      </c>
      <c r="B218" s="19" t="inlineStr">
        <is>
          <t>144012</t>
        </is>
      </c>
      <c r="C218" s="18" t="inlineStr">
        <is>
          <t>בלו אנרגיה מוחיטו 250 מ"ל (שחור) 1/24</t>
        </is>
      </c>
      <c r="D218" s="20" t="n">
        <v>16</v>
      </c>
      <c r="E218" s="21" t="n">
        <v>806</v>
      </c>
      <c r="F218" s="20">
        <f>D218*(1+'יעדים לפי סוכן'!$B$2)</f>
        <v>20</v>
      </c>
      <c r="G218" s="21">
        <f>E218*(1+'יעדים לפי סוכן'!$B$2)</f>
        <v>1007.5</v>
      </c>
      <c r="H218" s="21" t="n">
        <v>651</v>
      </c>
    </row>
    <row r="219">
      <c r="A219" s="18" t="inlineStr">
        <is>
          <t>36</t>
        </is>
      </c>
      <c r="B219" s="19" t="inlineStr">
        <is>
          <t>144020</t>
        </is>
      </c>
      <c r="C219" s="18" t="inlineStr">
        <is>
          <t>בלו אנרגיה אקזוטיק (ירוק בהיר) 250מ 1/24</t>
        </is>
      </c>
      <c r="D219" s="20" t="n">
        <v>2</v>
      </c>
      <c r="E219" s="21" t="n">
        <v>98</v>
      </c>
      <c r="F219" s="20">
        <f>D219*(1+'יעדים לפי סוכן'!$B$2)</f>
        <v>2.5</v>
      </c>
      <c r="G219" s="21">
        <f>E219*(1+'יעדים לפי סוכן'!$B$2)</f>
        <v>122.5</v>
      </c>
      <c r="H219" s="21" t="n">
        <v>0</v>
      </c>
    </row>
    <row r="220">
      <c r="A220" s="18" t="inlineStr">
        <is>
          <t>36</t>
        </is>
      </c>
      <c r="B220" s="19" t="inlineStr">
        <is>
          <t>144010</t>
        </is>
      </c>
      <c r="C220" s="18" t="inlineStr">
        <is>
          <t>בלו אנרגיה דיי ענבים (סגול) DAY 250 מ"ל 1/24</t>
        </is>
      </c>
      <c r="D220" s="20" t="n">
        <v>0</v>
      </c>
      <c r="E220" s="21" t="n">
        <v>0</v>
      </c>
      <c r="F220" s="20">
        <f>D220*(1+'יעדים לפי סוכן'!$B$2)</f>
        <v>0</v>
      </c>
      <c r="G220" s="21">
        <f>E220*(1+'יעדים לפי סוכן'!$B$2)</f>
        <v>0</v>
      </c>
      <c r="H220" s="21" t="n">
        <v>148</v>
      </c>
    </row>
    <row r="221">
      <c r="A221" s="18" t="inlineStr">
        <is>
          <t>35</t>
        </is>
      </c>
      <c r="B221" s="19" t="inlineStr">
        <is>
          <t>144008</t>
        </is>
      </c>
      <c r="C221" s="18" t="inlineStr">
        <is>
          <t>בלו דיי אנרגיה (תכלת) DAY 250 מ"ל 1/24</t>
        </is>
      </c>
      <c r="D221" s="20" t="n">
        <v>7</v>
      </c>
      <c r="E221" s="21" t="n">
        <v>335</v>
      </c>
      <c r="F221" s="20">
        <f>D221*(1+'יעדים לפי סוכן'!$B$2)</f>
        <v>8.75</v>
      </c>
      <c r="G221" s="21">
        <f>E221*(1+'יעדים לפי סוכן'!$B$2)</f>
        <v>418.75</v>
      </c>
      <c r="H221" s="21" t="n">
        <v>1091</v>
      </c>
    </row>
    <row r="222">
      <c r="A222" s="18" t="inlineStr">
        <is>
          <t>35</t>
        </is>
      </c>
      <c r="B222" s="19" t="inlineStr">
        <is>
          <t>144004</t>
        </is>
      </c>
      <c r="C222" s="18" t="inlineStr">
        <is>
          <t>בלו אנרגיה רגיל 250 מ"ל (כחול) BLU 1/24</t>
        </is>
      </c>
      <c r="D222" s="20" t="n">
        <v>4</v>
      </c>
      <c r="E222" s="21" t="n">
        <v>177</v>
      </c>
      <c r="F222" s="20">
        <f>D222*(1+'יעדים לפי סוכן'!$B$2)</f>
        <v>5</v>
      </c>
      <c r="G222" s="21">
        <f>E222*(1+'יעדים לפי סוכן'!$B$2)</f>
        <v>221.25</v>
      </c>
      <c r="H222" s="21" t="n">
        <v>926</v>
      </c>
    </row>
    <row r="223">
      <c r="A223" s="18" t="inlineStr">
        <is>
          <t>35</t>
        </is>
      </c>
      <c r="B223" s="19" t="inlineStr">
        <is>
          <t>144016</t>
        </is>
      </c>
      <c r="C223" s="18" t="inlineStr">
        <is>
          <t>בלו אנרגיה אבטיח 1/24 250 מ"ל (ירוק) BLU -</t>
        </is>
      </c>
      <c r="D223" s="20" t="n">
        <v>2</v>
      </c>
      <c r="E223" s="21" t="n">
        <v>98</v>
      </c>
      <c r="F223" s="20">
        <f>D223*(1+'יעדים לפי סוכן'!$B$2)</f>
        <v>2.5</v>
      </c>
      <c r="G223" s="21">
        <f>E223*(1+'יעדים לפי סוכן'!$B$2)</f>
        <v>122.5</v>
      </c>
      <c r="H223" s="21" t="n">
        <v>149</v>
      </c>
    </row>
    <row r="224">
      <c r="A224" s="18" t="inlineStr">
        <is>
          <t>35</t>
        </is>
      </c>
      <c r="B224" s="19" t="inlineStr">
        <is>
          <t>144012</t>
        </is>
      </c>
      <c r="C224" s="18" t="inlineStr">
        <is>
          <t>בלו אנרגיה מוחיטו 250 מ"ל (שחור) 1/24</t>
        </is>
      </c>
      <c r="D224" s="20" t="n">
        <v>2</v>
      </c>
      <c r="E224" s="21" t="n">
        <v>97</v>
      </c>
      <c r="F224" s="20">
        <f>D224*(1+'יעדים לפי סוכן'!$B$2)</f>
        <v>2.5</v>
      </c>
      <c r="G224" s="21">
        <f>E224*(1+'יעדים לפי סוכן'!$B$2)</f>
        <v>121.25</v>
      </c>
      <c r="H224" s="21" t="n">
        <v>842</v>
      </c>
    </row>
    <row r="225">
      <c r="A225" s="18" t="inlineStr">
        <is>
          <t>35</t>
        </is>
      </c>
      <c r="B225" s="19" t="inlineStr">
        <is>
          <t>144020</t>
        </is>
      </c>
      <c r="C225" s="18" t="inlineStr">
        <is>
          <t>בלו אנרגיה אקזוטיק (ירוק בהיר) 250מ 1/24</t>
        </is>
      </c>
      <c r="D225" s="20" t="n">
        <v>2</v>
      </c>
      <c r="E225" s="21" t="n">
        <v>97</v>
      </c>
      <c r="F225" s="20">
        <f>D225*(1+'יעדים לפי סוכן'!$B$2)</f>
        <v>2.5</v>
      </c>
      <c r="G225" s="21">
        <f>E225*(1+'יעדים לפי סוכן'!$B$2)</f>
        <v>121.25</v>
      </c>
      <c r="H225" s="21" t="n">
        <v>50</v>
      </c>
    </row>
    <row r="226">
      <c r="A226" s="18" t="inlineStr">
        <is>
          <t>35</t>
        </is>
      </c>
      <c r="B226" s="19" t="inlineStr">
        <is>
          <t>144010</t>
        </is>
      </c>
      <c r="C226" s="18" t="inlineStr">
        <is>
          <t>בלו אנרגיה דיי ענבים (סגול) DAY 250 מ"ל 1/24</t>
        </is>
      </c>
      <c r="D226" s="20" t="n">
        <v>0</v>
      </c>
      <c r="E226" s="21" t="n">
        <v>0</v>
      </c>
      <c r="F226" s="20">
        <f>D226*(1+'יעדים לפי סוכן'!$B$2)</f>
        <v>0</v>
      </c>
      <c r="G226" s="21">
        <f>E226*(1+'יעדים לפי סוכן'!$B$2)</f>
        <v>0</v>
      </c>
      <c r="H226" s="21" t="n">
        <v>150</v>
      </c>
    </row>
    <row r="227">
      <c r="A227" s="18" t="inlineStr">
        <is>
          <t>35</t>
        </is>
      </c>
      <c r="B227" s="19" t="inlineStr">
        <is>
          <t>144028</t>
        </is>
      </c>
      <c r="C227" s="18" t="inlineStr">
        <is>
          <t>בלו אנרגיה קרנברי (אדום) 250 מ"ל 1/24</t>
        </is>
      </c>
      <c r="D227" s="20" t="n">
        <v>0</v>
      </c>
      <c r="E227" s="21" t="n">
        <v>0</v>
      </c>
      <c r="F227" s="20">
        <f>D227*(1+'יעדים לפי סוכן'!$B$2)</f>
        <v>0</v>
      </c>
      <c r="G227" s="21">
        <f>E227*(1+'יעדים לפי סוכן'!$B$2)</f>
        <v>0</v>
      </c>
      <c r="H227" s="21" t="n">
        <v>49</v>
      </c>
    </row>
    <row r="228">
      <c r="A228" s="18" t="inlineStr">
        <is>
          <t>35</t>
        </is>
      </c>
      <c r="B228" s="19" t="inlineStr">
        <is>
          <t>144024</t>
        </is>
      </c>
      <c r="C228" s="18" t="inlineStr">
        <is>
          <t>בלו רגיל אנרגיה ללא סוכר 6 קלוריות 250 מ"ל (אדום) 1/24</t>
        </is>
      </c>
      <c r="D228" s="20" t="n">
        <v>0</v>
      </c>
      <c r="E228" s="21" t="n">
        <v>0</v>
      </c>
      <c r="F228" s="20">
        <f>D228*(1+'יעדים לפי סוכן'!$B$2)</f>
        <v>0</v>
      </c>
      <c r="G228" s="21">
        <f>E228*(1+'יעדים לפי סוכן'!$B$2)</f>
        <v>0</v>
      </c>
      <c r="H228" s="21" t="n">
        <v>98</v>
      </c>
    </row>
    <row r="229">
      <c r="A229" s="18" t="inlineStr">
        <is>
          <t>38</t>
        </is>
      </c>
      <c r="B229" s="19" t="inlineStr">
        <is>
          <t>144008</t>
        </is>
      </c>
      <c r="C229" s="18" t="inlineStr">
        <is>
          <t>בלו דיי אנרגיה (תכלת) DAY 250 מ"ל 1/24</t>
        </is>
      </c>
      <c r="D229" s="20" t="n">
        <v>0</v>
      </c>
      <c r="E229" s="21" t="n">
        <v>0</v>
      </c>
      <c r="F229" s="20">
        <f>D229*(1+'יעדים לפי סוכן'!$B$2)</f>
        <v>0</v>
      </c>
      <c r="G229" s="21">
        <f>E229*(1+'יעדים לפי סוכן'!$B$2)</f>
        <v>0</v>
      </c>
      <c r="H229" s="21" t="n">
        <v>1665</v>
      </c>
    </row>
    <row r="230">
      <c r="A230" s="18" t="inlineStr">
        <is>
          <t>38</t>
        </is>
      </c>
      <c r="B230" s="19" t="inlineStr">
        <is>
          <t>144005</t>
        </is>
      </c>
      <c r="C230" s="18" t="inlineStr">
        <is>
          <t>בלו מונדיאל רגיל 250 מ"ל (כחול) BLU 1/24</t>
        </is>
      </c>
      <c r="D230" s="20" t="n">
        <v>0</v>
      </c>
      <c r="E230" s="21" t="n">
        <v>0</v>
      </c>
      <c r="F230" s="20">
        <f>D230*(1+'יעדים לפי סוכן'!$B$2)</f>
        <v>0</v>
      </c>
      <c r="G230" s="21">
        <f>E230*(1+'יעדים לפי סוכן'!$B$2)</f>
        <v>0</v>
      </c>
      <c r="H230" s="21" t="n">
        <v>6082</v>
      </c>
    </row>
    <row r="231">
      <c r="A231" s="18" t="inlineStr">
        <is>
          <t>38</t>
        </is>
      </c>
      <c r="B231" s="19" t="inlineStr">
        <is>
          <t>144016</t>
        </is>
      </c>
      <c r="C231" s="18" t="inlineStr">
        <is>
          <t>בלו אנרגיה אבטיח 1/24 250 מ"ל (ירוק) BLU -</t>
        </is>
      </c>
      <c r="D231" s="20" t="n">
        <v>0</v>
      </c>
      <c r="E231" s="21" t="n">
        <v>0</v>
      </c>
      <c r="F231" s="20">
        <f>D231*(1+'יעדים לפי סוכן'!$B$2)</f>
        <v>0</v>
      </c>
      <c r="G231" s="21">
        <f>E231*(1+'יעדים לפי סוכן'!$B$2)</f>
        <v>0</v>
      </c>
      <c r="H231" s="21" t="n">
        <v>490</v>
      </c>
    </row>
    <row r="232">
      <c r="A232" s="18" t="inlineStr">
        <is>
          <t>38</t>
        </is>
      </c>
      <c r="B232" s="19" t="inlineStr">
        <is>
          <t>144020</t>
        </is>
      </c>
      <c r="C232" s="18" t="inlineStr">
        <is>
          <t>בלו אנרגיה אקזוטיק (ירוק בהיר) 250מ 1/24</t>
        </is>
      </c>
      <c r="D232" s="20" t="n">
        <v>0</v>
      </c>
      <c r="E232" s="21" t="n">
        <v>0</v>
      </c>
      <c r="F232" s="20">
        <f>D232*(1+'יעדים לפי סוכן'!$B$2)</f>
        <v>0</v>
      </c>
      <c r="G232" s="21">
        <f>E232*(1+'יעדים לפי סוכן'!$B$2)</f>
        <v>0</v>
      </c>
      <c r="H232" s="21" t="n">
        <v>831</v>
      </c>
    </row>
    <row r="233">
      <c r="A233" s="18" t="inlineStr">
        <is>
          <t>38</t>
        </is>
      </c>
      <c r="B233" s="19" t="inlineStr">
        <is>
          <t>144052</t>
        </is>
      </c>
      <c r="C233" s="18" t="inlineStr">
        <is>
          <t>בלו מוחיטו אנרגיה 150 מ"ל 1/24 (שחור)</t>
        </is>
      </c>
      <c r="D233" s="20" t="n">
        <v>0</v>
      </c>
      <c r="E233" s="21" t="n">
        <v>0</v>
      </c>
      <c r="F233" s="20">
        <f>D233*(1+'יעדים לפי סוכן'!$B$2)</f>
        <v>0</v>
      </c>
      <c r="G233" s="21">
        <f>E233*(1+'יעדים לפי סוכן'!$B$2)</f>
        <v>0</v>
      </c>
      <c r="H233" s="21" t="n">
        <v>302</v>
      </c>
    </row>
    <row r="234">
      <c r="A234" s="18" t="inlineStr">
        <is>
          <t>38</t>
        </is>
      </c>
      <c r="B234" s="19" t="inlineStr">
        <is>
          <t>144051</t>
        </is>
      </c>
      <c r="C234" s="18" t="inlineStr">
        <is>
          <t>בלו דיי אנרגיה 150 מ"ל 1/24 (תכלת)</t>
        </is>
      </c>
      <c r="D234" s="20" t="n">
        <v>0</v>
      </c>
      <c r="E234" s="21" t="n">
        <v>0</v>
      </c>
      <c r="F234" s="20">
        <f>D234*(1+'יעדים לפי סוכן'!$B$2)</f>
        <v>0</v>
      </c>
      <c r="G234" s="21">
        <f>E234*(1+'יעדים לפי סוכן'!$B$2)</f>
        <v>0</v>
      </c>
      <c r="H234" s="21" t="n">
        <v>518</v>
      </c>
    </row>
    <row r="235">
      <c r="A235" s="18" t="inlineStr">
        <is>
          <t>38</t>
        </is>
      </c>
      <c r="B235" s="19" t="inlineStr">
        <is>
          <t>144050</t>
        </is>
      </c>
      <c r="C235" s="18" t="inlineStr">
        <is>
          <t>בלו אנרגיה רגיל 150 מ"ל 1/24 (כחול)</t>
        </is>
      </c>
      <c r="D235" s="20" t="n">
        <v>0</v>
      </c>
      <c r="E235" s="21" t="n">
        <v>0</v>
      </c>
      <c r="F235" s="20">
        <f>D235*(1+'יעדים לפי סוכן'!$B$2)</f>
        <v>0</v>
      </c>
      <c r="G235" s="21">
        <f>E235*(1+'יעדים לפי סוכן'!$B$2)</f>
        <v>0</v>
      </c>
      <c r="H235" s="21" t="n">
        <v>454</v>
      </c>
    </row>
    <row r="236">
      <c r="A236" s="18" t="inlineStr">
        <is>
          <t>38</t>
        </is>
      </c>
      <c r="B236" s="19" t="inlineStr">
        <is>
          <t>144012</t>
        </is>
      </c>
      <c r="C236" s="18" t="inlineStr">
        <is>
          <t>בלו אנרגיה מוחיטו 250 מ"ל (שחור) 1/24</t>
        </is>
      </c>
      <c r="D236" s="20" t="n">
        <v>0</v>
      </c>
      <c r="E236" s="21" t="n">
        <v>0</v>
      </c>
      <c r="F236" s="20">
        <f>D236*(1+'יעדים לפי סוכן'!$B$2)</f>
        <v>0</v>
      </c>
      <c r="G236" s="21">
        <f>E236*(1+'יעדים לפי סוכן'!$B$2)</f>
        <v>0</v>
      </c>
      <c r="H236" s="21" t="n">
        <v>393</v>
      </c>
    </row>
    <row r="237">
      <c r="A237" s="18" t="inlineStr">
        <is>
          <t>38</t>
        </is>
      </c>
      <c r="B237" s="19" t="inlineStr">
        <is>
          <t>144004</t>
        </is>
      </c>
      <c r="C237" s="18" t="inlineStr">
        <is>
          <t>בלו אנרגיה רגיל 250 מ"ל (כחול) BLU 1/24</t>
        </is>
      </c>
      <c r="D237" s="20" t="n">
        <v>0</v>
      </c>
      <c r="E237" s="21" t="n">
        <v>0</v>
      </c>
      <c r="F237" s="20">
        <f>D237*(1+'יעדים לפי סוכן'!$B$2)</f>
        <v>0</v>
      </c>
      <c r="G237" s="21">
        <f>E237*(1+'יעדים לפי סוכן'!$B$2)</f>
        <v>0</v>
      </c>
      <c r="H237" s="21" t="n">
        <v>91</v>
      </c>
    </row>
    <row r="238">
      <c r="A238" s="18" t="inlineStr">
        <is>
          <t>38</t>
        </is>
      </c>
      <c r="B238" s="19" t="inlineStr">
        <is>
          <t>144010</t>
        </is>
      </c>
      <c r="C238" s="18" t="inlineStr">
        <is>
          <t>בלו אנרגיה דיי ענבים (סגול) DAY 250 מ"ל 1/24</t>
        </is>
      </c>
      <c r="D238" s="20" t="n">
        <v>0</v>
      </c>
      <c r="E238" s="21" t="n">
        <v>0</v>
      </c>
      <c r="F238" s="20">
        <f>D238*(1+'יעדים לפי סוכן'!$B$2)</f>
        <v>0</v>
      </c>
      <c r="G238" s="21">
        <f>E238*(1+'יעדים לפי סוכן'!$B$2)</f>
        <v>0</v>
      </c>
      <c r="H238" s="21" t="n">
        <v>294</v>
      </c>
    </row>
    <row r="239">
      <c r="A239" s="18" t="inlineStr">
        <is>
          <t>38</t>
        </is>
      </c>
      <c r="B239" s="19" t="inlineStr">
        <is>
          <t>144024</t>
        </is>
      </c>
      <c r="C239" s="18" t="inlineStr">
        <is>
          <t>בלו רגיל אנרגיה ללא סוכר 6 קלוריות 250 מ"ל (אדום) 1/24</t>
        </is>
      </c>
      <c r="D239" s="20" t="n">
        <v>0</v>
      </c>
      <c r="E239" s="21" t="n">
        <v>0</v>
      </c>
      <c r="F239" s="20">
        <f>D239*(1+'יעדים לפי סוכן'!$B$2)</f>
        <v>0</v>
      </c>
      <c r="G239" s="21">
        <f>E239*(1+'יעדים לפי סוכן'!$B$2)</f>
        <v>0</v>
      </c>
      <c r="H239" s="21" t="n">
        <v>49</v>
      </c>
    </row>
    <row r="240">
      <c r="A240" s="22" t="inlineStr">
        <is>
          <t>סה"כ</t>
        </is>
      </c>
      <c r="B240" s="22" t="n"/>
      <c r="C240" s="22" t="n"/>
      <c r="D240" s="23">
        <f>SUM(D4:D239)</f>
        <v>10472</v>
      </c>
      <c r="E240" s="24">
        <f>SUM(E4:E239)</f>
        <v>512124</v>
      </c>
      <c r="F240" s="23">
        <f>SUM(F4:F239)</f>
        <v>13090</v>
      </c>
      <c r="G240" s="24">
        <f>SUM(G4:G239)</f>
        <v>640155</v>
      </c>
      <c r="H240" s="24">
        <f>SUM(H4:H239)</f>
        <v>349109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2026-08-13T08:35:10Z</dcterms:created>
  <dcterms:modified xsi:type="dcterms:W3CDTF">2026-08-13T08:35:10Z</dcterms:modified>
</cp:coreProperties>
</file>